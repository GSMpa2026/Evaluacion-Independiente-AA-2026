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bppanama1-my.sharepoint.com/personal/jserrano_pichincha_com_pa/Documents/Escritorio/Compliance/"/>
    </mc:Choice>
  </mc:AlternateContent>
  <xr:revisionPtr revIDLastSave="0" documentId="8_{EE58DFFB-0F5A-4A23-AD8A-70AA32ADB788}" xr6:coauthVersionLast="47" xr6:coauthVersionMax="47" xr10:uidLastSave="{00000000-0000-0000-0000-000000000000}"/>
  <bookViews>
    <workbookView xWindow="-28920" yWindow="-120" windowWidth="29040" windowHeight="15720" tabRatio="500" activeTab="2" xr2:uid="{00000000-000D-0000-FFFF-FFFF00000000}"/>
  </bookViews>
  <sheets>
    <sheet name="Dashboard" sheetId="5" r:id="rId1"/>
    <sheet name="Variables" sheetId="1" r:id="rId2"/>
    <sheet name="Riesgos" sheetId="2" r:id="rId3"/>
    <sheet name="Matriz de Riesgos" sheetId="3" r:id="rId4"/>
    <sheet name="Plan de Acción" sheetId="4" r:id="rId5"/>
  </sheets>
  <definedNames>
    <definedName name="_xlnm._FilterDatabase" localSheetId="2" hidden="1">Riesgos!$A$3:$O$89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18" i="5" l="1"/>
  <c r="P19" i="5"/>
  <c r="P20" i="5"/>
  <c r="M18" i="5"/>
  <c r="M21" i="5" s="1"/>
  <c r="M19" i="5"/>
  <c r="M20" i="5"/>
  <c r="P5" i="5"/>
  <c r="N5" i="5"/>
  <c r="L5" i="5"/>
  <c r="B5" i="5"/>
  <c r="H4" i="4" a="1"/>
  <c r="H4" i="4" s="1"/>
  <c r="H5" i="4" a="1"/>
  <c r="H5" i="4" s="1"/>
  <c r="H6" i="4" a="1"/>
  <c r="H6" i="4" s="1"/>
  <c r="H7" i="4" a="1"/>
  <c r="H7" i="4" s="1"/>
  <c r="H8" i="4" a="1"/>
  <c r="H8" i="4" s="1"/>
  <c r="H9" i="4" a="1"/>
  <c r="H9" i="4" s="1"/>
  <c r="H10" i="4" a="1"/>
  <c r="H10" i="4" s="1"/>
  <c r="H11" i="4" a="1"/>
  <c r="H11" i="4" s="1"/>
  <c r="H12" i="4" a="1"/>
  <c r="H12" i="4" s="1"/>
  <c r="H13" i="4" a="1"/>
  <c r="H13" i="4" s="1"/>
  <c r="H14" i="4" a="1"/>
  <c r="H14" i="4" s="1"/>
  <c r="H15" i="4" a="1"/>
  <c r="H15" i="4" s="1"/>
  <c r="H16" i="4" a="1"/>
  <c r="H16" i="4" s="1"/>
  <c r="H17" i="4" a="1"/>
  <c r="H17" i="4" s="1"/>
  <c r="H18" i="4" a="1"/>
  <c r="H18" i="4" s="1"/>
  <c r="H19" i="4" a="1"/>
  <c r="H19" i="4" s="1"/>
  <c r="H20" i="4" a="1"/>
  <c r="H20" i="4" s="1"/>
  <c r="H21" i="4" a="1"/>
  <c r="H21" i="4" s="1"/>
  <c r="H22" i="4" a="1"/>
  <c r="H22" i="4" s="1"/>
  <c r="H23" i="4" a="1"/>
  <c r="H23" i="4" s="1"/>
  <c r="H24" i="4" a="1"/>
  <c r="H24" i="4" s="1"/>
  <c r="H25" i="4" a="1"/>
  <c r="H25" i="4" s="1"/>
  <c r="H26" i="4" a="1"/>
  <c r="H26" i="4" s="1"/>
  <c r="H27" i="4" a="1"/>
  <c r="H27" i="4" s="1"/>
  <c r="H28" i="4" a="1"/>
  <c r="H28" i="4" s="1"/>
  <c r="H29" i="4" a="1"/>
  <c r="H29" i="4" s="1"/>
  <c r="H30" i="4" a="1"/>
  <c r="H30" i="4" s="1"/>
  <c r="H31" i="4" a="1"/>
  <c r="H31" i="4" s="1"/>
  <c r="H32" i="4" a="1"/>
  <c r="H32" i="4" s="1"/>
  <c r="H33" i="4" a="1"/>
  <c r="H33" i="4" s="1"/>
  <c r="H34" i="4" a="1"/>
  <c r="H34" i="4" s="1"/>
  <c r="I89" i="2"/>
  <c r="M89" i="2" s="1"/>
  <c r="H89" i="2"/>
  <c r="F89" i="2"/>
  <c r="I88" i="2"/>
  <c r="M88" i="2" s="1"/>
  <c r="H88" i="2"/>
  <c r="F88" i="2"/>
  <c r="I87" i="2"/>
  <c r="M87" i="2" s="1"/>
  <c r="H87" i="2"/>
  <c r="F87" i="2"/>
  <c r="I86" i="2"/>
  <c r="M86" i="2" s="1"/>
  <c r="H86" i="2"/>
  <c r="F86" i="2"/>
  <c r="I85" i="2"/>
  <c r="M85" i="2" s="1"/>
  <c r="H85" i="2"/>
  <c r="F85" i="2"/>
  <c r="I84" i="2"/>
  <c r="M84" i="2" s="1"/>
  <c r="H84" i="2"/>
  <c r="F84" i="2"/>
  <c r="I83" i="2"/>
  <c r="M83" i="2" s="1"/>
  <c r="H83" i="2"/>
  <c r="F83" i="2"/>
  <c r="I82" i="2"/>
  <c r="M82" i="2" s="1"/>
  <c r="H82" i="2"/>
  <c r="F82" i="2"/>
  <c r="I81" i="2"/>
  <c r="M81" i="2" s="1"/>
  <c r="H81" i="2"/>
  <c r="F81" i="2"/>
  <c r="I80" i="2"/>
  <c r="M80" i="2" s="1"/>
  <c r="H80" i="2"/>
  <c r="F80" i="2"/>
  <c r="I79" i="2"/>
  <c r="M79" i="2" s="1"/>
  <c r="H79" i="2"/>
  <c r="F79" i="2"/>
  <c r="I78" i="2"/>
  <c r="M78" i="2" s="1"/>
  <c r="H78" i="2"/>
  <c r="F78" i="2"/>
  <c r="I77" i="2"/>
  <c r="M77" i="2" s="1"/>
  <c r="H77" i="2"/>
  <c r="F77" i="2"/>
  <c r="I76" i="2"/>
  <c r="M76" i="2" s="1"/>
  <c r="H76" i="2"/>
  <c r="F76" i="2"/>
  <c r="I75" i="2"/>
  <c r="M75" i="2" s="1"/>
  <c r="H75" i="2"/>
  <c r="F75" i="2"/>
  <c r="I74" i="2"/>
  <c r="M74" i="2" s="1"/>
  <c r="H74" i="2"/>
  <c r="F74" i="2"/>
  <c r="I73" i="2"/>
  <c r="M73" i="2" s="1"/>
  <c r="H73" i="2"/>
  <c r="F73" i="2"/>
  <c r="I72" i="2"/>
  <c r="M72" i="2" s="1"/>
  <c r="H72" i="2"/>
  <c r="F72" i="2"/>
  <c r="I71" i="2"/>
  <c r="M71" i="2" s="1"/>
  <c r="H71" i="2"/>
  <c r="F71" i="2"/>
  <c r="I70" i="2"/>
  <c r="M70" i="2" s="1"/>
  <c r="H70" i="2"/>
  <c r="F70" i="2"/>
  <c r="I69" i="2"/>
  <c r="M69" i="2" s="1"/>
  <c r="H69" i="2"/>
  <c r="F69" i="2"/>
  <c r="I68" i="2"/>
  <c r="M68" i="2" s="1"/>
  <c r="H68" i="2"/>
  <c r="F68" i="2"/>
  <c r="I67" i="2"/>
  <c r="M67" i="2" s="1"/>
  <c r="H67" i="2"/>
  <c r="F67" i="2"/>
  <c r="I66" i="2"/>
  <c r="M66" i="2" s="1"/>
  <c r="H66" i="2"/>
  <c r="F66" i="2"/>
  <c r="I65" i="2"/>
  <c r="M65" i="2" s="1"/>
  <c r="H65" i="2"/>
  <c r="F65" i="2"/>
  <c r="I64" i="2"/>
  <c r="M64" i="2" s="1"/>
  <c r="H64" i="2"/>
  <c r="F64" i="2"/>
  <c r="I63" i="2"/>
  <c r="M63" i="2" s="1"/>
  <c r="H63" i="2"/>
  <c r="F63" i="2"/>
  <c r="H62" i="2"/>
  <c r="F62" i="2"/>
  <c r="I62" i="2" s="1"/>
  <c r="M62" i="2" s="1"/>
  <c r="I61" i="2"/>
  <c r="M61" i="2" s="1"/>
  <c r="H61" i="2"/>
  <c r="F61" i="2"/>
  <c r="H60" i="2"/>
  <c r="F60" i="2"/>
  <c r="I60" i="2" s="1"/>
  <c r="M60" i="2" s="1"/>
  <c r="H59" i="2"/>
  <c r="I59" i="2" s="1"/>
  <c r="M59" i="2" s="1"/>
  <c r="F59" i="2"/>
  <c r="H58" i="2"/>
  <c r="F58" i="2"/>
  <c r="I58" i="2" s="1"/>
  <c r="M58" i="2" s="1"/>
  <c r="I57" i="2"/>
  <c r="M57" i="2" s="1"/>
  <c r="H57" i="2"/>
  <c r="F57" i="2"/>
  <c r="H56" i="2"/>
  <c r="F56" i="2"/>
  <c r="I56" i="2" s="1"/>
  <c r="M56" i="2" s="1"/>
  <c r="H55" i="2"/>
  <c r="I55" i="2" s="1"/>
  <c r="M55" i="2" s="1"/>
  <c r="F55" i="2"/>
  <c r="H54" i="2"/>
  <c r="F54" i="2"/>
  <c r="I54" i="2" s="1"/>
  <c r="M54" i="2" s="1"/>
  <c r="I53" i="2"/>
  <c r="M53" i="2" s="1"/>
  <c r="H53" i="2"/>
  <c r="F53" i="2"/>
  <c r="H52" i="2"/>
  <c r="F52" i="2"/>
  <c r="I52" i="2" s="1"/>
  <c r="M52" i="2" s="1"/>
  <c r="H51" i="2"/>
  <c r="I51" i="2" s="1"/>
  <c r="M51" i="2" s="1"/>
  <c r="F51" i="2"/>
  <c r="H50" i="2"/>
  <c r="F50" i="2"/>
  <c r="I50" i="2" s="1"/>
  <c r="M50" i="2" s="1"/>
  <c r="I49" i="2"/>
  <c r="M49" i="2" s="1"/>
  <c r="H49" i="2"/>
  <c r="F49" i="2"/>
  <c r="H48" i="2"/>
  <c r="F48" i="2"/>
  <c r="I48" i="2" s="1"/>
  <c r="M48" i="2" s="1"/>
  <c r="H47" i="2"/>
  <c r="I47" i="2" s="1"/>
  <c r="M47" i="2" s="1"/>
  <c r="F47" i="2"/>
  <c r="H46" i="2"/>
  <c r="F46" i="2"/>
  <c r="I46" i="2" s="1"/>
  <c r="M46" i="2" s="1"/>
  <c r="I45" i="2"/>
  <c r="M45" i="2" s="1"/>
  <c r="H45" i="2"/>
  <c r="F45" i="2"/>
  <c r="H44" i="2"/>
  <c r="F44" i="2"/>
  <c r="I44" i="2" s="1"/>
  <c r="M44" i="2" s="1"/>
  <c r="H43" i="2"/>
  <c r="I43" i="2" s="1"/>
  <c r="M43" i="2" s="1"/>
  <c r="F43" i="2"/>
  <c r="H42" i="2"/>
  <c r="F42" i="2"/>
  <c r="I42" i="2" s="1"/>
  <c r="M42" i="2" s="1"/>
  <c r="I41" i="2"/>
  <c r="M41" i="2" s="1"/>
  <c r="H41" i="2"/>
  <c r="F41" i="2"/>
  <c r="H40" i="2"/>
  <c r="F40" i="2"/>
  <c r="I40" i="2" s="1"/>
  <c r="M40" i="2" s="1"/>
  <c r="H39" i="2"/>
  <c r="I39" i="2" s="1"/>
  <c r="M39" i="2" s="1"/>
  <c r="F39" i="2"/>
  <c r="H38" i="2"/>
  <c r="F38" i="2"/>
  <c r="I38" i="2" s="1"/>
  <c r="M38" i="2" s="1"/>
  <c r="I37" i="2"/>
  <c r="M37" i="2" s="1"/>
  <c r="H37" i="2"/>
  <c r="F37" i="2"/>
  <c r="H36" i="2"/>
  <c r="F36" i="2"/>
  <c r="I36" i="2" s="1"/>
  <c r="M36" i="2" s="1"/>
  <c r="H35" i="2"/>
  <c r="I35" i="2" s="1"/>
  <c r="M35" i="2" s="1"/>
  <c r="F35" i="2"/>
  <c r="H34" i="2"/>
  <c r="F34" i="2"/>
  <c r="I34" i="2" s="1"/>
  <c r="M34" i="2" s="1"/>
  <c r="I33" i="2"/>
  <c r="M33" i="2" s="1"/>
  <c r="H33" i="2"/>
  <c r="F33" i="2"/>
  <c r="H32" i="2"/>
  <c r="F32" i="2"/>
  <c r="I32" i="2" s="1"/>
  <c r="M32" i="2" s="1"/>
  <c r="H31" i="2"/>
  <c r="I31" i="2" s="1"/>
  <c r="M31" i="2" s="1"/>
  <c r="F31" i="2"/>
  <c r="H30" i="2"/>
  <c r="F30" i="2"/>
  <c r="I30" i="2" s="1"/>
  <c r="M30" i="2" s="1"/>
  <c r="I29" i="2"/>
  <c r="M29" i="2" s="1"/>
  <c r="H29" i="2"/>
  <c r="F29" i="2"/>
  <c r="H28" i="2"/>
  <c r="F28" i="2"/>
  <c r="I28" i="2" s="1"/>
  <c r="M28" i="2" s="1"/>
  <c r="H27" i="2"/>
  <c r="I27" i="2" s="1"/>
  <c r="M27" i="2" s="1"/>
  <c r="F27" i="2"/>
  <c r="H26" i="2"/>
  <c r="F26" i="2"/>
  <c r="I26" i="2" s="1"/>
  <c r="M26" i="2" s="1"/>
  <c r="I25" i="2"/>
  <c r="M25" i="2" s="1"/>
  <c r="H25" i="2"/>
  <c r="F25" i="2"/>
  <c r="H24" i="2"/>
  <c r="F24" i="2"/>
  <c r="I24" i="2" s="1"/>
  <c r="M24" i="2" s="1"/>
  <c r="H23" i="2"/>
  <c r="I23" i="2" s="1"/>
  <c r="M23" i="2" s="1"/>
  <c r="F23" i="2"/>
  <c r="H22" i="2"/>
  <c r="F22" i="2"/>
  <c r="I22" i="2" s="1"/>
  <c r="M22" i="2" s="1"/>
  <c r="I21" i="2"/>
  <c r="M21" i="2" s="1"/>
  <c r="H21" i="2"/>
  <c r="F21" i="2"/>
  <c r="H20" i="2"/>
  <c r="F20" i="2"/>
  <c r="I20" i="2" s="1"/>
  <c r="M20" i="2" s="1"/>
  <c r="H19" i="2"/>
  <c r="I19" i="2" s="1"/>
  <c r="M19" i="2" s="1"/>
  <c r="F19" i="2"/>
  <c r="H18" i="2"/>
  <c r="F18" i="2"/>
  <c r="I18" i="2" s="1"/>
  <c r="M18" i="2" s="1"/>
  <c r="I17" i="2"/>
  <c r="M17" i="2" s="1"/>
  <c r="H17" i="2"/>
  <c r="F17" i="2"/>
  <c r="H16" i="2"/>
  <c r="F16" i="2"/>
  <c r="I16" i="2" s="1"/>
  <c r="M16" i="2" s="1"/>
  <c r="H15" i="2"/>
  <c r="I15" i="2" s="1"/>
  <c r="M15" i="2" s="1"/>
  <c r="F15" i="2"/>
  <c r="H14" i="2"/>
  <c r="F14" i="2"/>
  <c r="I14" i="2" s="1"/>
  <c r="M14" i="2" s="1"/>
  <c r="I13" i="2"/>
  <c r="M13" i="2" s="1"/>
  <c r="H13" i="2"/>
  <c r="F13" i="2"/>
  <c r="H12" i="2"/>
  <c r="F12" i="2"/>
  <c r="I12" i="2" s="1"/>
  <c r="M12" i="2" s="1"/>
  <c r="H11" i="2"/>
  <c r="I11" i="2" s="1"/>
  <c r="M11" i="2" s="1"/>
  <c r="F11" i="2"/>
  <c r="H10" i="2"/>
  <c r="F10" i="2"/>
  <c r="I10" i="2" s="1"/>
  <c r="M10" i="2" s="1"/>
  <c r="I9" i="2"/>
  <c r="M9" i="2" s="1"/>
  <c r="H9" i="2"/>
  <c r="F9" i="2"/>
  <c r="H8" i="2"/>
  <c r="F8" i="2"/>
  <c r="I8" i="2" s="1"/>
  <c r="M8" i="2" s="1"/>
  <c r="H7" i="2"/>
  <c r="I7" i="2" s="1"/>
  <c r="M7" i="2" s="1"/>
  <c r="F7" i="2"/>
  <c r="H6" i="2"/>
  <c r="F6" i="2"/>
  <c r="I6" i="2" s="1"/>
  <c r="M6" i="2" s="1"/>
  <c r="I5" i="2"/>
  <c r="M5" i="2" s="1"/>
  <c r="H5" i="2"/>
  <c r="F5" i="2"/>
  <c r="H4" i="2"/>
  <c r="F4" i="2"/>
  <c r="N12" i="5" s="1"/>
  <c r="G25" i="3"/>
  <c r="G24" i="3"/>
  <c r="H13" i="5" l="1"/>
  <c r="I13" i="5"/>
  <c r="H15" i="5"/>
  <c r="I15" i="5"/>
  <c r="I11" i="5"/>
  <c r="H10" i="5"/>
  <c r="I10" i="5"/>
  <c r="H11" i="5"/>
  <c r="H12" i="5"/>
  <c r="I12" i="5"/>
  <c r="H14" i="5"/>
  <c r="I14" i="5"/>
  <c r="H16" i="5"/>
  <c r="I16" i="5"/>
  <c r="M10" i="5"/>
  <c r="O12" i="5"/>
  <c r="N10" i="5"/>
  <c r="P12" i="5"/>
  <c r="O10" i="5"/>
  <c r="Q12" i="5"/>
  <c r="P10" i="5"/>
  <c r="M13" i="5"/>
  <c r="Q10" i="5"/>
  <c r="N13" i="5"/>
  <c r="M11" i="5"/>
  <c r="O13" i="5"/>
  <c r="N11" i="5"/>
  <c r="P13" i="5"/>
  <c r="M9" i="5"/>
  <c r="O11" i="5"/>
  <c r="Q13" i="5"/>
  <c r="N9" i="5"/>
  <c r="P11" i="5"/>
  <c r="O9" i="5"/>
  <c r="Q11" i="5"/>
  <c r="I4" i="2"/>
  <c r="P9" i="5"/>
  <c r="M12" i="5"/>
  <c r="Q9" i="5"/>
  <c r="P21" i="5"/>
  <c r="J4" i="2"/>
  <c r="J6" i="2"/>
  <c r="O6" i="2" s="1"/>
  <c r="J8" i="2"/>
  <c r="O8" i="2" s="1"/>
  <c r="J10" i="2"/>
  <c r="O10" i="2" s="1"/>
  <c r="J12" i="2"/>
  <c r="O12" i="2" s="1"/>
  <c r="J14" i="2"/>
  <c r="O14" i="2" s="1"/>
  <c r="J16" i="2"/>
  <c r="O16" i="2" s="1"/>
  <c r="J18" i="2"/>
  <c r="O18" i="2" s="1"/>
  <c r="J20" i="2"/>
  <c r="O20" i="2" s="1"/>
  <c r="J22" i="2"/>
  <c r="O22" i="2" s="1"/>
  <c r="J24" i="2"/>
  <c r="O24" i="2" s="1"/>
  <c r="J26" i="2"/>
  <c r="O26" i="2" s="1"/>
  <c r="J28" i="2"/>
  <c r="O28" i="2" s="1"/>
  <c r="J30" i="2"/>
  <c r="O30" i="2" s="1"/>
  <c r="J32" i="2"/>
  <c r="O32" i="2" s="1"/>
  <c r="J34" i="2"/>
  <c r="O34" i="2" s="1"/>
  <c r="J36" i="2"/>
  <c r="O36" i="2" s="1"/>
  <c r="J38" i="2"/>
  <c r="O38" i="2" s="1"/>
  <c r="J40" i="2"/>
  <c r="O40" i="2" s="1"/>
  <c r="J42" i="2"/>
  <c r="O42" i="2" s="1"/>
  <c r="J44" i="2"/>
  <c r="O44" i="2" s="1"/>
  <c r="J46" i="2"/>
  <c r="O46" i="2" s="1"/>
  <c r="J48" i="2"/>
  <c r="O48" i="2" s="1"/>
  <c r="J50" i="2"/>
  <c r="O50" i="2" s="1"/>
  <c r="J52" i="2"/>
  <c r="J54" i="2"/>
  <c r="O54" i="2" s="1"/>
  <c r="J56" i="2"/>
  <c r="O56" i="2" s="1"/>
  <c r="J58" i="2"/>
  <c r="J60" i="2"/>
  <c r="O60" i="2" s="1"/>
  <c r="J62" i="2"/>
  <c r="O62" i="2" s="1"/>
  <c r="J64" i="2"/>
  <c r="O64" i="2" s="1"/>
  <c r="J66" i="2"/>
  <c r="O66" i="2" s="1"/>
  <c r="J68" i="2"/>
  <c r="O68" i="2" s="1"/>
  <c r="J70" i="2"/>
  <c r="O70" i="2" s="1"/>
  <c r="J72" i="2"/>
  <c r="O72" i="2" s="1"/>
  <c r="J74" i="2"/>
  <c r="O74" i="2" s="1"/>
  <c r="J76" i="2"/>
  <c r="O76" i="2" s="1"/>
  <c r="J78" i="2"/>
  <c r="O78" i="2" s="1"/>
  <c r="J80" i="2"/>
  <c r="O80" i="2" s="1"/>
  <c r="J82" i="2"/>
  <c r="O82" i="2" s="1"/>
  <c r="J84" i="2"/>
  <c r="O84" i="2" s="1"/>
  <c r="J86" i="2"/>
  <c r="O86" i="2" s="1"/>
  <c r="J88" i="2"/>
  <c r="O88" i="2" s="1"/>
  <c r="J5" i="2"/>
  <c r="O5" i="2" s="1"/>
  <c r="J7" i="2"/>
  <c r="O7" i="2" s="1"/>
  <c r="J9" i="2"/>
  <c r="O9" i="2" s="1"/>
  <c r="J11" i="2"/>
  <c r="O11" i="2" s="1"/>
  <c r="J13" i="2"/>
  <c r="O13" i="2" s="1"/>
  <c r="J15" i="2"/>
  <c r="J17" i="2"/>
  <c r="O17" i="2" s="1"/>
  <c r="J19" i="2"/>
  <c r="O19" i="2" s="1"/>
  <c r="J21" i="2"/>
  <c r="O21" i="2" s="1"/>
  <c r="J23" i="2"/>
  <c r="O23" i="2" s="1"/>
  <c r="J25" i="2"/>
  <c r="J27" i="2"/>
  <c r="O27" i="2" s="1"/>
  <c r="J29" i="2"/>
  <c r="O29" i="2" s="1"/>
  <c r="J31" i="2"/>
  <c r="J33" i="2"/>
  <c r="O33" i="2" s="1"/>
  <c r="J35" i="2"/>
  <c r="O35" i="2" s="1"/>
  <c r="J37" i="2"/>
  <c r="O37" i="2" s="1"/>
  <c r="J39" i="2"/>
  <c r="J41" i="2"/>
  <c r="O41" i="2" s="1"/>
  <c r="J43" i="2"/>
  <c r="O43" i="2" s="1"/>
  <c r="J45" i="2"/>
  <c r="O45" i="2" s="1"/>
  <c r="J47" i="2"/>
  <c r="J49" i="2"/>
  <c r="O49" i="2" s="1"/>
  <c r="J51" i="2"/>
  <c r="O51" i="2" s="1"/>
  <c r="J53" i="2"/>
  <c r="O53" i="2" s="1"/>
  <c r="J55" i="2"/>
  <c r="O55" i="2" s="1"/>
  <c r="J57" i="2"/>
  <c r="O57" i="2" s="1"/>
  <c r="J59" i="2"/>
  <c r="O59" i="2" s="1"/>
  <c r="J61" i="2"/>
  <c r="O61" i="2" s="1"/>
  <c r="J63" i="2"/>
  <c r="O63" i="2" s="1"/>
  <c r="J65" i="2"/>
  <c r="O65" i="2" s="1"/>
  <c r="J67" i="2"/>
  <c r="O67" i="2" s="1"/>
  <c r="J69" i="2"/>
  <c r="O69" i="2" s="1"/>
  <c r="J71" i="2"/>
  <c r="O71" i="2" s="1"/>
  <c r="J73" i="2"/>
  <c r="O73" i="2" s="1"/>
  <c r="J75" i="2"/>
  <c r="O75" i="2" s="1"/>
  <c r="J77" i="2"/>
  <c r="O77" i="2" s="1"/>
  <c r="J79" i="2"/>
  <c r="O79" i="2" s="1"/>
  <c r="J81" i="2"/>
  <c r="O81" i="2" s="1"/>
  <c r="J83" i="2"/>
  <c r="O83" i="2" s="1"/>
  <c r="J85" i="2"/>
  <c r="O85" i="2" s="1"/>
  <c r="J87" i="2"/>
  <c r="O87" i="2" s="1"/>
  <c r="J89" i="2"/>
  <c r="O89" i="2" s="1"/>
  <c r="E14" i="5" l="1"/>
  <c r="F14" i="5"/>
  <c r="C14" i="5"/>
  <c r="J14" i="5" s="1"/>
  <c r="D14" i="5"/>
  <c r="G14" i="5" s="1"/>
  <c r="M4" i="2"/>
  <c r="G7" i="3"/>
  <c r="E5" i="3"/>
  <c r="F7" i="3"/>
  <c r="D5" i="3"/>
  <c r="C5" i="3"/>
  <c r="D7" i="3"/>
  <c r="G4" i="3"/>
  <c r="G6" i="3"/>
  <c r="E4" i="3"/>
  <c r="G8" i="3"/>
  <c r="E6" i="3"/>
  <c r="C4" i="3"/>
  <c r="F8" i="3"/>
  <c r="D6" i="3"/>
  <c r="E8" i="3"/>
  <c r="C6" i="3"/>
  <c r="D8" i="3"/>
  <c r="C7" i="3"/>
  <c r="F4" i="3"/>
  <c r="F6" i="3"/>
  <c r="G5" i="3"/>
  <c r="D4" i="3"/>
  <c r="E7" i="3"/>
  <c r="C8" i="3"/>
  <c r="F5" i="3"/>
  <c r="C10" i="5"/>
  <c r="D10" i="5"/>
  <c r="E10" i="5"/>
  <c r="F10" i="5"/>
  <c r="C15" i="5"/>
  <c r="J15" i="5" s="1"/>
  <c r="D15" i="5"/>
  <c r="G15" i="5" s="1"/>
  <c r="E15" i="5"/>
  <c r="F15" i="5"/>
  <c r="J37" i="5" a="1"/>
  <c r="J37" i="5" s="1"/>
  <c r="C9" i="5"/>
  <c r="C5" i="5"/>
  <c r="I7" i="4" a="1"/>
  <c r="I7" i="4" s="1"/>
  <c r="I11" i="4" a="1"/>
  <c r="I11" i="4" s="1"/>
  <c r="I15" i="4" a="1"/>
  <c r="I15" i="4" s="1"/>
  <c r="I19" i="4" a="1"/>
  <c r="I19" i="4" s="1"/>
  <c r="I23" i="4" a="1"/>
  <c r="I23" i="4" s="1"/>
  <c r="I27" i="4" a="1"/>
  <c r="I27" i="4" s="1"/>
  <c r="I31" i="4" a="1"/>
  <c r="I31" i="4" s="1"/>
  <c r="J24" i="4" a="1"/>
  <c r="J24" i="4" s="1"/>
  <c r="I33" i="4" a="1"/>
  <c r="I33" i="4" s="1"/>
  <c r="I37" i="5" a="1"/>
  <c r="I37" i="5" s="1"/>
  <c r="D9" i="5"/>
  <c r="J7" i="4" a="1"/>
  <c r="J7" i="4" s="1"/>
  <c r="J11" i="4" a="1"/>
  <c r="J11" i="4" s="1"/>
  <c r="J15" i="4" a="1"/>
  <c r="J15" i="4" s="1"/>
  <c r="J19" i="4" a="1"/>
  <c r="J19" i="4" s="1"/>
  <c r="J23" i="4" a="1"/>
  <c r="J23" i="4" s="1"/>
  <c r="J27" i="4" a="1"/>
  <c r="J27" i="4" s="1"/>
  <c r="J31" i="4" a="1"/>
  <c r="J31" i="4" s="1"/>
  <c r="J8" i="4" a="1"/>
  <c r="J8" i="4" s="1"/>
  <c r="I17" i="4" a="1"/>
  <c r="I17" i="4" s="1"/>
  <c r="H37" i="5" a="1"/>
  <c r="H37" i="5" s="1"/>
  <c r="E9" i="5"/>
  <c r="G37" i="5" a="1"/>
  <c r="G37" i="5" s="1"/>
  <c r="F9" i="5"/>
  <c r="I4" i="4" a="1"/>
  <c r="I4" i="4" s="1"/>
  <c r="I8" i="4" a="1"/>
  <c r="I8" i="4" s="1"/>
  <c r="I12" i="4" a="1"/>
  <c r="I12" i="4" s="1"/>
  <c r="I16" i="4" a="1"/>
  <c r="I16" i="4" s="1"/>
  <c r="I20" i="4" a="1"/>
  <c r="I20" i="4" s="1"/>
  <c r="I24" i="4" a="1"/>
  <c r="I24" i="4" s="1"/>
  <c r="I28" i="4" a="1"/>
  <c r="I28" i="4" s="1"/>
  <c r="I32" i="4" a="1"/>
  <c r="I32" i="4" s="1"/>
  <c r="B37" i="5" a="1"/>
  <c r="B37" i="5" s="1"/>
  <c r="J4" i="4" a="1"/>
  <c r="J4" i="4" s="1"/>
  <c r="J32" i="4" a="1"/>
  <c r="J32" i="4" s="1"/>
  <c r="C21" i="5"/>
  <c r="I5" i="4" a="1"/>
  <c r="I5" i="4" s="1"/>
  <c r="I9" i="4" a="1"/>
  <c r="I9" i="4" s="1"/>
  <c r="I29" i="4" a="1"/>
  <c r="I29" i="4" s="1"/>
  <c r="C22" i="5"/>
  <c r="J5" i="4" a="1"/>
  <c r="J5" i="4" s="1"/>
  <c r="J9" i="4" a="1"/>
  <c r="J9" i="4" s="1"/>
  <c r="J13" i="4" a="1"/>
  <c r="J13" i="4" s="1"/>
  <c r="J17" i="4" a="1"/>
  <c r="J17" i="4" s="1"/>
  <c r="J21" i="4" a="1"/>
  <c r="J21" i="4" s="1"/>
  <c r="J25" i="4" a="1"/>
  <c r="J25" i="4" s="1"/>
  <c r="J29" i="4" a="1"/>
  <c r="J29" i="4" s="1"/>
  <c r="J33" i="4" a="1"/>
  <c r="J33" i="4" s="1"/>
  <c r="J20" i="4" a="1"/>
  <c r="J20" i="4" s="1"/>
  <c r="I13" i="4" a="1"/>
  <c r="I13" i="4" s="1"/>
  <c r="C23" i="5"/>
  <c r="C24" i="5"/>
  <c r="I5" i="5"/>
  <c r="I6" i="4" a="1"/>
  <c r="I6" i="4" s="1"/>
  <c r="I10" i="4" a="1"/>
  <c r="I10" i="4" s="1"/>
  <c r="I14" i="4" a="1"/>
  <c r="I14" i="4" s="1"/>
  <c r="I18" i="4" a="1"/>
  <c r="I18" i="4" s="1"/>
  <c r="I22" i="4" a="1"/>
  <c r="I22" i="4" s="1"/>
  <c r="I26" i="4" a="1"/>
  <c r="I26" i="4" s="1"/>
  <c r="I30" i="4" a="1"/>
  <c r="I30" i="4" s="1"/>
  <c r="I34" i="4" a="1"/>
  <c r="I34" i="4" s="1"/>
  <c r="J28" i="4" a="1"/>
  <c r="J28" i="4" s="1"/>
  <c r="G5" i="5"/>
  <c r="J6" i="4" a="1"/>
  <c r="J6" i="4" s="1"/>
  <c r="J10" i="4" a="1"/>
  <c r="J10" i="4" s="1"/>
  <c r="J14" i="4" a="1"/>
  <c r="J14" i="4" s="1"/>
  <c r="J18" i="4" a="1"/>
  <c r="J18" i="4" s="1"/>
  <c r="J22" i="4" a="1"/>
  <c r="J22" i="4" s="1"/>
  <c r="J26" i="4" a="1"/>
  <c r="J26" i="4" s="1"/>
  <c r="J30" i="4" a="1"/>
  <c r="J30" i="4" s="1"/>
  <c r="J34" i="4" a="1"/>
  <c r="J34" i="4" s="1"/>
  <c r="J12" i="4" a="1"/>
  <c r="J12" i="4" s="1"/>
  <c r="I25" i="4" a="1"/>
  <c r="I25" i="4" s="1"/>
  <c r="E5" i="5"/>
  <c r="J16" i="4" a="1"/>
  <c r="J16" i="4" s="1"/>
  <c r="I21" i="4" a="1"/>
  <c r="I21" i="4" s="1"/>
  <c r="C16" i="5"/>
  <c r="D16" i="5"/>
  <c r="E16" i="5"/>
  <c r="F16" i="5"/>
  <c r="F12" i="5"/>
  <c r="C12" i="5"/>
  <c r="D12" i="5"/>
  <c r="E12" i="5"/>
  <c r="C13" i="5"/>
  <c r="D13" i="5"/>
  <c r="E13" i="5"/>
  <c r="F13" i="5"/>
  <c r="C11" i="5"/>
  <c r="D11" i="5"/>
  <c r="E11" i="5"/>
  <c r="F11" i="5"/>
  <c r="O25" i="2"/>
  <c r="G31" i="3"/>
  <c r="F31" i="3"/>
  <c r="E31" i="3"/>
  <c r="D31" i="3"/>
  <c r="H31" i="3" s="1"/>
  <c r="O47" i="2"/>
  <c r="G34" i="3"/>
  <c r="F34" i="3"/>
  <c r="E34" i="3"/>
  <c r="D34" i="3"/>
  <c r="O31" i="2"/>
  <c r="G32" i="3"/>
  <c r="F32" i="3"/>
  <c r="E32" i="3"/>
  <c r="D32" i="3"/>
  <c r="O58" i="2"/>
  <c r="G36" i="3"/>
  <c r="F36" i="3"/>
  <c r="E36" i="3"/>
  <c r="D36" i="3"/>
  <c r="O39" i="2"/>
  <c r="D33" i="3"/>
  <c r="G33" i="3"/>
  <c r="F33" i="3"/>
  <c r="E33" i="3"/>
  <c r="O15" i="2"/>
  <c r="G30" i="3"/>
  <c r="F30" i="3"/>
  <c r="E30" i="3"/>
  <c r="D30" i="3"/>
  <c r="F35" i="3"/>
  <c r="E35" i="3"/>
  <c r="D35" i="3"/>
  <c r="O52" i="2"/>
  <c r="G35" i="3"/>
  <c r="G22" i="3"/>
  <c r="G21" i="3"/>
  <c r="G20" i="3"/>
  <c r="G19" i="3"/>
  <c r="G29" i="3"/>
  <c r="O4" i="2"/>
  <c r="F29" i="3"/>
  <c r="E29" i="3"/>
  <c r="D29" i="3"/>
  <c r="G23" i="3"/>
  <c r="G11" i="5" l="1"/>
  <c r="J11" i="5"/>
  <c r="G16" i="5"/>
  <c r="J16" i="5"/>
  <c r="H36" i="3"/>
  <c r="G12" i="5"/>
  <c r="C25" i="5"/>
  <c r="F17" i="5"/>
  <c r="H9" i="5"/>
  <c r="I9" i="5"/>
  <c r="H17" i="5"/>
  <c r="I17" i="5"/>
  <c r="D17" i="5"/>
  <c r="G9" i="5"/>
  <c r="C17" i="5"/>
  <c r="J9" i="5"/>
  <c r="G13" i="5"/>
  <c r="J13" i="5"/>
  <c r="E17" i="5"/>
  <c r="G10" i="5"/>
  <c r="J10" i="5"/>
  <c r="J12" i="5"/>
  <c r="H33" i="3"/>
  <c r="H34" i="3"/>
  <c r="H35" i="3"/>
  <c r="F37" i="3"/>
  <c r="H30" i="3"/>
  <c r="D37" i="3"/>
  <c r="H29" i="3"/>
  <c r="G37" i="3"/>
  <c r="H32" i="3"/>
  <c r="E37" i="3"/>
  <c r="H37" i="3" l="1"/>
  <c r="G1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<sst xmlns="http://schemas.openxmlformats.org/spreadsheetml/2006/main" count="1254" uniqueCount="610">
  <si>
    <t>ASEGURADORA ANCÓN, S.A. – VARIABLES DE VALORACIÓN DE RIESGOS BC/FT/FPADM</t>
  </si>
  <si>
    <t>Evaluación Independiente 2024-2025  |  Preparado por: José A. Serrano   |  Octubre de 2026</t>
  </si>
  <si>
    <t>ESCALA DE PROBABILIDAD</t>
  </si>
  <si>
    <t>Nombre</t>
  </si>
  <si>
    <t>Descripción</t>
  </si>
  <si>
    <t>Puntaje</t>
  </si>
  <si>
    <t>Frecuente</t>
  </si>
  <si>
    <t>La probabilidad de ocurrencia del riesgo es muy alta; sucede en la mayoría de las circunstancias.</t>
  </si>
  <si>
    <t>Probable</t>
  </si>
  <si>
    <t>Es probable que el riesgo ocurra; los controles o procesos no son suficientemente efectivos para prevenirlo.</t>
  </si>
  <si>
    <t>Ocasional</t>
  </si>
  <si>
    <t>Existe la posibilidad de que el riesgo ocurra; los controles de mitigación no son del todo efectivos.</t>
  </si>
  <si>
    <t>Posible</t>
  </si>
  <si>
    <t>Existe una posibilidad limitada de que el riesgo ocurra; es poco probable con los controles actuales.</t>
  </si>
  <si>
    <t>Improbable</t>
  </si>
  <si>
    <t>La probabilidad de materialización es extremadamente baja; los controles son altamente efectivos.</t>
  </si>
  <si>
    <t>ESCALA DE IMPACTO</t>
  </si>
  <si>
    <t>Catastrófico</t>
  </si>
  <si>
    <t>La materialización causaría impacto severo e irreversible: sanciones regulatorias mayores, pérdidas masivas, daño reputacional crítico.</t>
  </si>
  <si>
    <t>Mayor</t>
  </si>
  <si>
    <t>Generaría pérdidas o sanciones significativas, requiriendo intervención inmediata de la alta gerencia y la Junta Directiva.</t>
  </si>
  <si>
    <t>Moderado</t>
  </si>
  <si>
    <t>Impacto considerable: puede afectar operaciones o comprometer el cumplimiento regulatorio de forma parcial.</t>
  </si>
  <si>
    <t>Menor</t>
  </si>
  <si>
    <t>Impacto leve; genera correcciones administrativas menores sin afectar operaciones críticas.</t>
  </si>
  <si>
    <t>Insignificante</t>
  </si>
  <si>
    <t>Impacto mínimo sobre la operación; se resuelve con controles normales sin mayor afectación.</t>
  </si>
  <si>
    <t>TABLA DE NIVELES DE RIESGO (P × I)</t>
  </si>
  <si>
    <t>CLAVE (PROB:IMP)</t>
  </si>
  <si>
    <t>NIVEL DE RIESGO</t>
  </si>
  <si>
    <t>PUNTAJE P×I</t>
  </si>
  <si>
    <t>5:1</t>
  </si>
  <si>
    <t>MEDIO</t>
  </si>
  <si>
    <t>5:2</t>
  </si>
  <si>
    <t>MEDIO-ALTO</t>
  </si>
  <si>
    <t>5:3</t>
  </si>
  <si>
    <t>CRÍTICO</t>
  </si>
  <si>
    <t>5:4</t>
  </si>
  <si>
    <t>5:5</t>
  </si>
  <si>
    <t>4:1</t>
  </si>
  <si>
    <t>4:2</t>
  </si>
  <si>
    <t>4:3</t>
  </si>
  <si>
    <t>4:4</t>
  </si>
  <si>
    <t>4:5</t>
  </si>
  <si>
    <t>3:1</t>
  </si>
  <si>
    <t>BAJO</t>
  </si>
  <si>
    <t>3:2</t>
  </si>
  <si>
    <t>3:3</t>
  </si>
  <si>
    <t>3:4</t>
  </si>
  <si>
    <t>3:5</t>
  </si>
  <si>
    <t>2:1</t>
  </si>
  <si>
    <t>2:2</t>
  </si>
  <si>
    <t>2:3</t>
  </si>
  <si>
    <t>2:4</t>
  </si>
  <si>
    <t>2:5</t>
  </si>
  <si>
    <t>1:1</t>
  </si>
  <si>
    <t>1:2</t>
  </si>
  <si>
    <t>1:3</t>
  </si>
  <si>
    <t>1:4</t>
  </si>
  <si>
    <t>1:5</t>
  </si>
  <si>
    <t>OM</t>
  </si>
  <si>
    <t>OPT. DE MEJORA</t>
  </si>
  <si>
    <t>N/A</t>
  </si>
  <si>
    <t>DESCRIPCIÓN DE NIVELES DE RIESGO</t>
  </si>
  <si>
    <t>Nivel</t>
  </si>
  <si>
    <t>Descripción / Acción Requerida</t>
  </si>
  <si>
    <t>Puntaje P×I</t>
  </si>
  <si>
    <t>Riesgo aceptable. Controles mínimos son suficientes. Monitoreo semestral.</t>
  </si>
  <si>
    <t>1 – 3</t>
  </si>
  <si>
    <t>Riesgo manejable. Requiere medidas correctivas (60-90 días). Monitoreo trimestral.</t>
  </si>
  <si>
    <t>4 – 6</t>
  </si>
  <si>
    <t>Riesgo significativo. Requiere plan de acción formal (30-60 días). Monitoreo mensual.</t>
  </si>
  <si>
    <t>8 – 12</t>
  </si>
  <si>
    <t>Riesgo inaceptable. Acción inmediata (0-30 días). Reporte obligatorio a JD y Oficial de Cumplimiento.</t>
  </si>
  <si>
    <t>15 – 25</t>
  </si>
  <si>
    <t>No es hallazgo de incumplimiento. Mejora preventiva o de adecuación normativa prospectiva.</t>
  </si>
  <si>
    <t>ASEGURADORA ANCÓN, S.A. – MATRIZ DE RIESGO GSM – EVALUACIÓN INDEPENDIENTE 2024-2025</t>
  </si>
  <si>
    <t>DESCRIPCIÓN DEL HALLAZGO / OPORTUNIDAD DE MEJORA</t>
  </si>
  <si>
    <t>TIPO</t>
  </si>
  <si>
    <t>DOCUMENTO(S) AFECTADO(S)</t>
  </si>
  <si>
    <t>OBSERVACIÓN / NOTA GSM
(actualizada oct-2026)</t>
  </si>
  <si>
    <t>PROBABILIDAD</t>
  </si>
  <si>
    <t>PROB.
PUNT.</t>
  </si>
  <si>
    <t>IMPACTO</t>
  </si>
  <si>
    <t>IMP.
PUNT.</t>
  </si>
  <si>
    <t>CALIFIC.
P:I</t>
  </si>
  <si>
    <t>COMPONENTE</t>
  </si>
  <si>
    <t>BASE NORMATIVA / REFERENCIA</t>
  </si>
  <si>
    <t>PUNTAJE
P×I</t>
  </si>
  <si>
    <t>PLAN DE ACCIÓN / FASE</t>
  </si>
  <si>
    <t>ACCIÓN REQUERIDA SEGÚN NIVEL</t>
  </si>
  <si>
    <t>Brecha</t>
  </si>
  <si>
    <t>Organigramas sep-2025; Resolución OAL-362; hojas de vida del Departamento; Informe SSRP DSR-0924-2023</t>
  </si>
  <si>
    <t>Validado: la asistente administrativa no resuelve la dedicación exclusiva ni la falta de apoyo profesional.</t>
  </si>
  <si>
    <t>Gobierno Corporativo</t>
  </si>
  <si>
    <t>Acuerdo 03-2022, Arts. 5, 7 (num. 11), 8, 10 (párr. final) y 62 (num. 9, lit. b)</t>
  </si>
  <si>
    <t>PA-01</t>
  </si>
  <si>
    <t>GC-02 · Sin estudio de capacidad del Departamento de Cumplimiento. No existe un estudio que demuestre que los recursos humanos y tecnológicos de Cumplimiento son suficientes para el volumen de clientes, alertas y debidas diligencias de la aseguradora.</t>
  </si>
  <si>
    <t>Organigrama del Departamento de Cumplimiento</t>
  </si>
  <si>
    <t>Descripción de puesto pendiente de entrega; no se cuenta con análisis de capacidad.</t>
  </si>
  <si>
    <t>Acuerdo 03-2022, Arts. 5 y 62 (num. 9, lit. d)</t>
  </si>
  <si>
    <t>PA-25</t>
  </si>
  <si>
    <t>AA_GOBCORP03; actas 17-04-2024 y 28-05-2025; Cuadro de Trazabilidad</t>
  </si>
  <si>
    <t>Actas II a IV trimestre 2024 pendientes de entrega (sesiones de seguimiento según la aclaración). Ancón indicó que no existen calendario ni temario.</t>
  </si>
  <si>
    <t>Reglamento AA_GOBCORP03; Acuerdo 03-2022, Arts. 10 (num. 14) y 11</t>
  </si>
  <si>
    <t>PA-12</t>
  </si>
  <si>
    <t>AA_GOBCORP03; autoevaluación del Comité 01-10-2025</t>
  </si>
  <si>
    <t>Informes a Junta y memorandos a Gerencia pendientes de entrega.</t>
  </si>
  <si>
    <t>Acuerdo 03-2022, Art. 10 (nums. 14 y 15)</t>
  </si>
  <si>
    <t>PA-12, PA-26</t>
  </si>
  <si>
    <t>GC-05 · Código de Ética incompleto y sin política de partes relacionadas. El Código de Ética (AIN-28-CODETI, noviembre de 2023) existe, pero no incluye un procedimiento para declarar y gestionar conflictos de interés, reglas para operaciones con partes vinculadas, un canal de denuncia confidencial con protección frente a represalias, un responsable de seguimiento ni consecuencias por incumplimiento; además, lo elaboró Auditoría Interna, que luego debe evaluarlo. Ancón indicó que no tiene una política de transacciones con partes relacionadas, y en las entrevistas el personal no identificó un canal de denuncia anónimo.</t>
  </si>
  <si>
    <t>AIN-28-CODETI; entrevistas</t>
  </si>
  <si>
    <t>Política de partes relacionadas: Ancón indicó que no existe.</t>
  </si>
  <si>
    <t>Manual del Sistema de Control Interno, secc. 6.1; Ley 23 de 2015, Art. 57; Acuerdo 03-2022, Art. 15 (num. 8); Recomendación 18 del GAFI</t>
  </si>
  <si>
    <t>PA-18</t>
  </si>
  <si>
    <t>Acta JD 20-01-2021; AA_GOBCORP03; AIN-28-MSCI-1; GESREHU-1</t>
  </si>
  <si>
    <t>Revisado.</t>
  </si>
  <si>
    <t>Manual del Sistema de Control Interno, secc. 6.1; Acuerdo 03-2022, Arts. 11 y 14</t>
  </si>
  <si>
    <t>PA-22</t>
  </si>
  <si>
    <t>Planes de Auditoría Interna 2024 y 2025; Informe de Auditoría Interna al Dpto. de Cumplimiento</t>
  </si>
  <si>
    <t>Informe de Auditoría Interna al Dpto. de Cumplimiento aportado.</t>
  </si>
  <si>
    <t>Ley 23 de 2015, Art. 45; Acuerdo 03-2022, Art. 18</t>
  </si>
  <si>
    <t>PA-21</t>
  </si>
  <si>
    <t>GC-08 · Sin suplente ni continuidad de la función de prevención. No hay un suplente designado ni un plan que asegure la continuidad de la función de prevención si la Oficial de Cumplimiento se ausenta.</t>
  </si>
  <si>
    <t>Organigrama; Manual de Prevención</t>
  </si>
  <si>
    <t>No evidenciado.</t>
  </si>
  <si>
    <t>Acuerdo 03-2022, Art. 9</t>
  </si>
  <si>
    <t>PA-27</t>
  </si>
  <si>
    <t>Organigrama general; entrevistas</t>
  </si>
  <si>
    <t>Confirmado en entrevistas.</t>
  </si>
  <si>
    <t>Ley 81 de 2019; Acuerdo 03-2022, Art. 16</t>
  </si>
  <si>
    <t>GC-10 · Designación del Oficial sin acta de Junta ni descripción de puesto. Para la designación de la Oficial de Cumplimiento se cuenta con la Resolución OAL-362 de 30 de diciembre de 2022; el acta de Junta Directiva que la designa y la descripción del puesto están pendientes de entrega.</t>
  </si>
  <si>
    <t>Resolución OAL-362</t>
  </si>
  <si>
    <t>Acta de Junta y descripción de puesto pendientes de entrega.</t>
  </si>
  <si>
    <t>Acuerdo 03-2022, Arts. 5 y 8</t>
  </si>
  <si>
    <t>GC-11 · Ratificación de la Junta Directiva sin evidencia concluyente. La aclaración de Ancón documenta las aprobaciones del Comité, pero la ratificación por la Junta Directiva del Manual de Prevención, de la matriz de riesgo y de la herramienta de listas no está evidenciada, y las actas de Junta aportadas sobre los Programas 2024 y 2025 y el Informe de Gestión 2024 están sujetas a confirmación con la Oficial de Cumplimiento.</t>
  </si>
  <si>
    <t>Aclaración de aprobaciones del Comité; actas de Junta aportadas</t>
  </si>
  <si>
    <t>Actas de Junta del Manual, la matriz y la herramienta de listas pendientes de entrega; las demás, sujetas a confirmación.</t>
  </si>
  <si>
    <t>Acuerdo 03-2022, Arts. 11, 12, 13, 14 y 15 (aprobación del Comité y ratificación de la Junta)</t>
  </si>
  <si>
    <t>PA-10</t>
  </si>
  <si>
    <t>PP-01 · Manual describe la consulta en listas solo para alto riesgo. El Manual describe la consulta en listas OFAC y ONU solo para clientes de alto riesgo, aspecto que la SSRP observó en 2022. En la práctica, Ancón aportó evidencia de la herramienta de consulta, de barridos sobre la cartera existente y de pólizas rechazadas o canceladas por coincidencias, por lo que la brecha es principalmente documental: el Manual debe reflejar que el control se aplica a todos.</t>
  </si>
  <si>
    <t>MPREMET-21; CONCLI-15; herramienta de listas; constancia de barridos</t>
  </si>
  <si>
    <t>Validado con evidencia de barridos del período: el control opera; falta alinear el texto del Manual.</t>
  </si>
  <si>
    <t>Políticas y Procedimientos</t>
  </si>
  <si>
    <t>Ley 23 de 2015, Art. 49; Acuerdo 03-2022, Arts. 21 (num. 2) y 23 (num. 9)</t>
  </si>
  <si>
    <t>PA-06</t>
  </si>
  <si>
    <t>PP-02 · Cuadros de control de versiones desactualizados. Los cuadros de control de versiones no reflejan la aprobación efectiva de CONSUREG-10, DPRPASO-19, CONCOMGF-11, CONTUPROV-6 y DPRPAPR-18; DPRPACO-17 muestra una fecha de modificación (2019-11) distinta de su vigencia (2023-05); CAPPCCASC-13 tiene una fila vacía; y la política de capacitación aparece con dos códigos.</t>
  </si>
  <si>
    <t>CONSUREG-10; DPRPASO-19; CONCOMGF-11; CONTUPROV-6; DPRPAPR-18; DPRPACO-17; CAPPCCASC-13</t>
  </si>
  <si>
    <t>Manual del Sistema de Control Interno, secc. 6.1; Acuerdo 03-2022, Arts. 14 y 15</t>
  </si>
  <si>
    <t>PP-03 · Políticas complementarias sin homologar. CONSUREG-10 y DPRPASO-19 difieren en contenido; los glosarios de CONASEM-5 y DPRPACO-17 no definen igual la debida diligencia simplificada y reforzada; y la prueba diagnóstica es obligatoria en una política de capacitación pero no en la otra.</t>
  </si>
  <si>
    <t>CONSUREG-10; DPRPASO-19; CONASEM-5; DPRPACO-17; CAPAC-8; CAPPCCASC-13</t>
  </si>
  <si>
    <t>Acuerdo 03-2022, Arts. 14 y 15 (párr. final)</t>
  </si>
  <si>
    <t>PA-24</t>
  </si>
  <si>
    <t>CONASEM-5; DPRPACO-17</t>
  </si>
  <si>
    <t>Revisado; confirmado en entrevistas.</t>
  </si>
  <si>
    <t>Ley 23 de 2015, Arts. 26 y 42; Acuerdo 03-2022, Art. 16</t>
  </si>
  <si>
    <t>PP-05 · Política de Excepción limitada a la suscripción. La Política de Excepción del Manual solo cubre la suscripción. Valoramos que el Comité ratificara en 2025 la excepción de pagos a terceros por cesión de derechos, pero los criterios, los aprobadores y el registro de los casos aprobados en el pago de siniestros no están documentados en la política.</t>
  </si>
  <si>
    <t>MPREMET-21; Cuadro de Trazabilidad; entrevistas</t>
  </si>
  <si>
    <t>Ratificación 2025 de la excepción confirmada en el Cuadro de Trazabilidad.</t>
  </si>
  <si>
    <t>Acuerdo 03-2022, Arts. 20 y 62 (num. 1)</t>
  </si>
  <si>
    <t>PA-15</t>
  </si>
  <si>
    <t>PP-06 · Política de Proveedores sin verificación de lo declarado. La Política Conozca a su Proveedor pide el formulario, pero no exige verificar lo declarado (listas, beneficiario final, documentos) según el riesgo del proveedor.</t>
  </si>
  <si>
    <t>CONTUPROV-6; DPRPAPR-18</t>
  </si>
  <si>
    <t>Catálogo de proveedores activos pendiente de entrega.</t>
  </si>
  <si>
    <t>Acuerdo 03-2022, Arts. 10 (num. 13) y 15 (num. 9)</t>
  </si>
  <si>
    <t>GESADHE-12</t>
  </si>
  <si>
    <t>Acuerdo 03-2022, Arts. 10 (num. 8) y 15 (num. 11)</t>
  </si>
  <si>
    <t>PA-13</t>
  </si>
  <si>
    <t>PP-08 · Políticas de capacitación sin mínimos medibles. No fijan nota aprobatoria, horas ni contenidos mínimos, indicadores de efectividad ni consecuencias para agentes y canales que incumplan.</t>
  </si>
  <si>
    <t>CAPAC-8; CAPPCCASC-13</t>
  </si>
  <si>
    <t>Ley 23 de 2015, Art. 47; Acuerdo 03-2022, Arts. 15 (num. 12) y 16</t>
  </si>
  <si>
    <t>PP-09 · Restricción del efectivo no incorporada a la política. La restricción de pagos en efectivo en Casa Matriz y Transístmica, vigente desde enero de 2026 (hecho posterior), todavía no está en la política escrita.</t>
  </si>
  <si>
    <t>Política de medios de pago; entrevista a Cobros</t>
  </si>
  <si>
    <t>Acuerdo 03-2022, Art. 14</t>
  </si>
  <si>
    <t>PP-10 · Sin política de dependencia de terceros. No se cuenta con evidencia de una política de dependencia de terceros y acuerdos de servicio entre empresas del grupo, que el Acuerdo 03-2022 incluye entre las políticas mínimas, con criterios para prevenir conflictos de interés.</t>
  </si>
  <si>
    <t>Cuadro de control de entregables</t>
  </si>
  <si>
    <t>Política pendiente de entrega.</t>
  </si>
  <si>
    <t>Acuerdo 03-2022, Art. 15 (num. 8)</t>
  </si>
  <si>
    <t>Programas y cronogramas 2024-2025; aclaración de aprobaciones; correo de remisión 2025</t>
  </si>
  <si>
    <t>Memorial 2024 y sello de recibido 2025 pendientes de entrega.</t>
  </si>
  <si>
    <t>Programa Anual de Cumplimiento</t>
  </si>
  <si>
    <t>Acuerdo 03-2022, Art. 12</t>
  </si>
  <si>
    <t>Informes de seguimiento al Comité 2024-2025</t>
  </si>
  <si>
    <t>Cinco informes aportados y revisados.</t>
  </si>
  <si>
    <t>Acuerdo 03-2022, Art. 10 (num. 14)</t>
  </si>
  <si>
    <t>PAC-03 · Informe de Gestión 2024 sin acta de aprobación del Comité. Ancón elaboró el Informe de Gestión Anual 2024 con su resumen ejecutivo y el cronograma de cierre, lo que es una buena práctica. El acta del Comité que lo aprueba está pendiente de entrega y su ratificación por la Junta está sujeta a confirmación.</t>
  </si>
  <si>
    <t>Informe de Gestión Anual 2024</t>
  </si>
  <si>
    <t>Acta de aprobación del Comité pendiente de entrega.</t>
  </si>
  <si>
    <t>Acuerdo 03-2022, Art. 13</t>
  </si>
  <si>
    <t>PAC-04 · Programa sin indicadores de avance. El programa no tiene indicadores ni un registro de avance por actividad que ayude a la Junta a entender el nivel de exposición.</t>
  </si>
  <si>
    <t>Programas y cronogramas 2024-2025</t>
  </si>
  <si>
    <t>Acuerdo 03-2022, Arts. 10 (num. 14) y 12</t>
  </si>
  <si>
    <t>PA-19</t>
  </si>
  <si>
    <t>PAC-05 · Capacitación ejecutada sin constancia individual. Las capacitaciones se realizaron, pero el 81.8 % de los expedientes de colaboradores revisados no tiene constancia, y Fianzas, Tecnología y Atención al Cliente no reciben capacitación especializada para su función.</t>
  </si>
  <si>
    <t>Cuadro de capacitaciones 2024-2025; expedientes de colaboradores; entrevistas</t>
  </si>
  <si>
    <t>Capacitaciones evidenciadas; constancias individuales incompletas.</t>
  </si>
  <si>
    <t>Ley 23 de 2015, Art. 47; Acuerdo 03-2022, Arts. 16 y 61 (num. 5)</t>
  </si>
  <si>
    <t>PA-20</t>
  </si>
  <si>
    <t>Matriz de seguimiento de cierre de hallazgos (16-01-2026)</t>
  </si>
  <si>
    <t>Matriz de seguimiento aportada.</t>
  </si>
  <si>
    <t>Acuerdo 03-2022, Arts. 12 y 62 (num. 11)</t>
  </si>
  <si>
    <t>PA-02</t>
  </si>
  <si>
    <t>GESADHE-12; DNR Alertas Monitoreos; Informe SSRP 2022</t>
  </si>
  <si>
    <t>Cronograma formal de DEIVID pendiente de entrega.</t>
  </si>
  <si>
    <t>Monitoreo Transaccional</t>
  </si>
  <si>
    <t>Acuerdo 03-2022, Arts. 10 (nums. 8 y 9) y 62 (nums. 10 y 11)</t>
  </si>
  <si>
    <t>MT-02 · Requerimientos del sistema de alertas sin aprobar. El documento de requerimientos del sistema de alertas no está aprobado, su plan de pruebas está incompleto y no tiene fecha de implementación.</t>
  </si>
  <si>
    <t>DNR Alertas Monitoreos</t>
  </si>
  <si>
    <t>MT-03 · Sin listado completo de alertas del período. Ancón aportó una muestra de alerta de monitoreo y registros de alertas de octubre de 2023 a abril de 2024. No se cuenta, en cambio, con un listado completo de las alertas generadas y atendidas entre julio de 2024 y junio de 2025.</t>
  </si>
  <si>
    <t>Muestra de alerta; registros de alertas oct-2023 a abr-2024</t>
  </si>
  <si>
    <t>Listado completo del período pendiente de entrega.</t>
  </si>
  <si>
    <t>Acuerdo 03-2022, Art. 43; D.E. 35 de 2022, Art. 23</t>
  </si>
  <si>
    <t>PA-14</t>
  </si>
  <si>
    <t>MT-04 · Cierre de alertas sin documentar y sin registro de falsos positivos. No está documentado cómo se analiza y cierra cada alerta (falso positivo, escalamiento o ROS) ni se registran fecha, área, analista, descripción, resultado, aprobador y fecha de cierre. Ancón aportó registros de alertas procesadas, pero no se cuenta con un listado consolidado de las cerradas como falsos positivos ni con un reporte consolidado de alertas al Comité.</t>
  </si>
  <si>
    <t>Registros de alertas; cuadro de control de entregables</t>
  </si>
  <si>
    <t>Listado consolidado de falsos positivos pendiente de entrega; se aportaron registros de alertas procesadas (oct-2023 a abr-2024).</t>
  </si>
  <si>
    <t>Acuerdo 03-2022, Art. 43</t>
  </si>
  <si>
    <t>MT-05 · Sin calibración de reglas y detección manual de PEP. No hay una metodología para calibrar reglas y umbrales ni para gestionar falsos positivos; las herramientas AML/CFT no tienen revisión independiente; y la detección de PEP no autodeclarados depende de búsquedas manuales.</t>
  </si>
  <si>
    <t>Entrevista a Tecnología; GESADHE-12</t>
  </si>
  <si>
    <t>Acuerdo 03-2022, Arts. 10 (num. 18) y 30 (nums. 1 y 5)</t>
  </si>
  <si>
    <t>PA-23</t>
  </si>
  <si>
    <t>MT-06 · Monitoreo de noticias negativas discontinuo. El monitoreo de noticias negativas tuvo meses sin cobertura, sus reportes omiten datos mínimos y no se cuenta con un procedimiento formal de revisión de noticias.</t>
  </si>
  <si>
    <t>Reportes de monitoreo de noticias; Informe SSRP 2022</t>
  </si>
  <si>
    <t>Procedimiento formal de noticias pendiente de entrega.</t>
  </si>
  <si>
    <t>Acuerdo 03-2022, Art. 10 (num. 9); inspección DSR-0924-2023</t>
  </si>
  <si>
    <t>MT-07 · Reclamos sin verificación del perfil de riesgo (R3 y R4). Los riesgos R3 y R4 (tramitar sin verificar el perfil del cliente ni actualizar su debida diligencia) tienen frecuencia MUY ALTA; el riesgo del cliente no activa revisiones adicionales en el pago de siniestros.</t>
  </si>
  <si>
    <t>Evaluación de Riesgo de Reclamos v0</t>
  </si>
  <si>
    <t>Confirmado en entrevistas a Reclamos.</t>
  </si>
  <si>
    <t>Acuerdo 03-2022, Arts. 10 (num. 9), 20 y 30</t>
  </si>
  <si>
    <t>MT-08 · Monitoreo de conducta de colaboradores sin indicadores. El monitoreo de conducta de los colaboradores no tiene indicadores sobre alertas generadas y su resultado.</t>
  </si>
  <si>
    <t>CONASEM-5</t>
  </si>
  <si>
    <t>Acuerdo 03-2022, Art. 16</t>
  </si>
  <si>
    <t>Matriz de revisión de 85 expedientes; CONCLI-15</t>
  </si>
  <si>
    <t>Validado con la prueba de expedientes.</t>
  </si>
  <si>
    <t>Debida Diligencia</t>
  </si>
  <si>
    <t>Ley 23 de 2015, Arts. 26, 27, 28 y 36; D.E. 35 de 2022, Arts. 12, 13, 17 y 18; Acuerdo 03-2022, Arts. 19, 21 a 24 y 62 (nums. 1 y 4)</t>
  </si>
  <si>
    <t>PA-07</t>
  </si>
  <si>
    <t>MPREMET-21; CONCLI-15; Informe SSRP 2022; entrevistas</t>
  </si>
  <si>
    <t>Validado con la prueba de expedientes y entrevistas.</t>
  </si>
  <si>
    <t>Acuerdo 03-2022, Art. 19; D.E. 35 de 2022, Arts. 16 y 29 (num. 1, lit. f)</t>
  </si>
  <si>
    <t>PA-05</t>
  </si>
  <si>
    <t>DD-03 · Asegurado y beneficiario sin perfil de riesgo propio. El perfil se centra en el contratante o pagador. Al asegurado distinto solo se le recogen documentos, y al beneficiario de reclamos de vida se le pide cédula y CTC, pero no se le perfila ni se le consulta en listas antes de pagarle.</t>
  </si>
  <si>
    <t>MPREMET-21; entrevistas a Emisión y Reclamos</t>
  </si>
  <si>
    <t>Acuerdo 03-2022, Arts. 20 y 30; Recomendaciones 10 y 12 del GAFI</t>
  </si>
  <si>
    <t>DD-04 · Fianzas perfila fuera del módulo institucional. Fianzas perfila a sus clientes por su cuenta, con un enfoque de capacidad financiera, fuera del Módulo de Perfil de Riesgo, lo que limita la trazabilidad y la aplicación uniforme de la metodología.</t>
  </si>
  <si>
    <t>Entrevista a Fianzas</t>
  </si>
  <si>
    <t>Acuerdo 03-2022, Arts. 11 y 25</t>
  </si>
  <si>
    <t>PA-16</t>
  </si>
  <si>
    <t>DD-05 · Procedimiento ante coincidencias en listas no interiorizado. Atención al Cliente, punto de primer contacto, no conoce el procedimiento ante una coincidencia en listas, y en algunos expedientes no hay evidencia de la consulta o se hizo sobre otra persona. Aunque los barridos de cartera están evidenciados, esto expone el deber de congelamiento preventivo.</t>
  </si>
  <si>
    <t>Herramienta de listas; constancia de barridos; entrevistas</t>
  </si>
  <si>
    <t>Barridos evidenciados; procedimiento ante coincidencias por formalizar.</t>
  </si>
  <si>
    <t>Ley 23 de 2015, Art. 49; D.E. 35 de 2022, Art. 29 (num. 1, lit. d); Acuerdo 03-2022, Art. 21 (num. 2)</t>
  </si>
  <si>
    <t>Matriz de expedientes; Informe SSRP 2022; listado de clientes con documentación pendiente</t>
  </si>
  <si>
    <t>Acuerdo 03-2022, Art. 19</t>
  </si>
  <si>
    <t>Entrevistas</t>
  </si>
  <si>
    <t>Ley 23 de 2015, Art. 26; D.E. 35 de 2022, Art. 7</t>
  </si>
  <si>
    <t>Análisis de 33 expedientes de colaboradores; CONASEM-5</t>
  </si>
  <si>
    <t>Ley 23 de 2015, Art. 42; Acuerdo 03-2022, Arts. 16 y 62 (num. 14); D.E. 35, Art. 29 (num. 2, lit. b)</t>
  </si>
  <si>
    <t>PA-08</t>
  </si>
  <si>
    <t>ER-01 · Matrices BC/FT/FPADM sin copia aportada y sin evaluación institucional integrada. Las matrices de clientes, colaboradores, proveedores y zonas geográficas, su metodología y el acta de Junta que las aprueba están pendientes de entrega, y no se cuenta con una evaluación institucional que integre esos factores con riesgo inherente, controles y riesgo residual. Sin esa evidencia, el hallazgo crítico de la SSRP de 2022 no puede darse por cerrado.</t>
  </si>
  <si>
    <t>Informe SSRP 2022; aclaración de aprobaciones del Comité</t>
  </si>
  <si>
    <t>Aprobadas por el Comité según la aclaración; copias y acta de Junta pendientes de entrega. Recalificable al aportarse.</t>
  </si>
  <si>
    <t>Evaluación de Riesgo AML</t>
  </si>
  <si>
    <t>Ley 23 de 2015, Art. 26; D.E. 35 de 2022, Art. 7; Acuerdo 03-2022, Arts. 10 (nums. 4 a 6), 11, 17 y 62 (num. 3)</t>
  </si>
  <si>
    <t>PA-09</t>
  </si>
  <si>
    <t>Evaluación de Riesgo de Emisión v2; Evaluación de Riesgo de Reclamos v0</t>
  </si>
  <si>
    <t>Estatus de aprobación por confirmar.</t>
  </si>
  <si>
    <t>Acuerdo 03-2022, Art. 17</t>
  </si>
  <si>
    <t>PA-17</t>
  </si>
  <si>
    <t>ER-03 · Impacto subestimado en R3 y R4. Calificar con impacto MUY BAJO los riesgos R3 y R4, de frecuencia MUY ALTA, subestima el riesgo regulatorio y oculta que el control no está funcionando.</t>
  </si>
  <si>
    <t>Acuerdo 03-2022, Arts. 4 (num. 14) y 11</t>
  </si>
  <si>
    <t>ER-04 · Canal web sin evaluación de riesgo previa. No se cuenta con evidencia de la evaluación de riesgo previa al lanzamiento del canal de autoservicio web.</t>
  </si>
  <si>
    <t>Entrevistas a Comercialización</t>
  </si>
  <si>
    <t>Acuerdo 03-2022, Arts. 10 (num. 7) y 11</t>
  </si>
  <si>
    <t>PA-31</t>
  </si>
  <si>
    <t>ER-05 · Evaluación de riesgo sin incorporar resultados de supervisión. No hay evidencia de que la evaluación recoja los resultados del monitoreo, de las auditorías, de evaluaciones independientes y de los hallazgos de la SSRP.</t>
  </si>
  <si>
    <t>Evaluaciones de riesgo por proceso</t>
  </si>
  <si>
    <t>Acuerdo 03-2022, Art. 17 (párr. 2)</t>
  </si>
  <si>
    <t>RR-01 · Sin ROS en el período ni registro de operaciones inusuales. La ausencia de ROS no es en sí misma un incumplimiento, pero no se cuenta con un registro de operaciones inusuales que deje constancia del análisis, del responsable, del sustento y de la decisión de no reportar; la entidad no puede demostrar que esa ausencia responde a un análisis y no a fallas de detección.</t>
  </si>
  <si>
    <t>MPREMET-21; Informe SSRP 2022; listado de ROS del período</t>
  </si>
  <si>
    <t>Según Ancón, no se generaron ROS en el período.</t>
  </si>
  <si>
    <t>Reportes Regulatorios</t>
  </si>
  <si>
    <t>Ley 23 de 2015, Art. 54; D.E. 35 de 2022, Arts. 23 y 25; Acuerdo 03-2022, Arts. 43, 44 y 62 (nums. 5 y 10)</t>
  </si>
  <si>
    <t>PA-04</t>
  </si>
  <si>
    <t>Pendiente análisis y decisión documentada por Cumplimiento.</t>
  </si>
  <si>
    <t>Ley 23 de 2015, Art. 54; D.E. 35 de 2022, Arts. 25 y 29 (num. 1, lit. e); Acuerdo 03-2022, Arts. 43, 44 y 63 (num. 1)</t>
  </si>
  <si>
    <t>PA-03</t>
  </si>
  <si>
    <t>RR-03 · Sin procedimiento formal de ROS. No hay un procedimiento con criterios, plazos, formato, revisión de calidad antes del envío y registro de las decisiones de no reportar.</t>
  </si>
  <si>
    <t>MPREMET-21</t>
  </si>
  <si>
    <t>Acuerdo 03-2022, Art. 44</t>
  </si>
  <si>
    <t>RR-04 · Condiciones observadas por la SSRP en 2022 aún abiertas. Ancón aportó una matriz de seguimiento del cierre de hallazgos, lo que es un paso positivo. Las pruebas de esta evaluación, sin embargo, muestran que las condiciones de fondo observadas por la SSRP —registro de ROS, matriz BC/FT/FPADM, estructura de Cumplimiento, perfiles de riesgo y monitoreo— siguen total o parcialmente abiertas, y no hay evidencia de comunicaciones de seguimiento con la SSRP.</t>
  </si>
  <si>
    <t>Matriz de seguimiento de cierre de hallazgos; Informe SSRP 2022</t>
  </si>
  <si>
    <t>Matriz de seguimiento aportada; las pruebas muestran condiciones aún abiertas.</t>
  </si>
  <si>
    <t>Acuerdo 03-2022, Arts. 59 (nums. 1 y 4) y 62 (num. 11)</t>
  </si>
  <si>
    <t>RR-05 · Reportes de efectivo del período no evidenciados. Los reportes de efectivo y cuasi efectivo enviados a la UAF durante el período, que debían presentarse dentro de los cinco primeros días hábiles de cada mes, están pendientes de entrega.</t>
  </si>
  <si>
    <t>Pendientes de entrega.</t>
  </si>
  <si>
    <t>Ley 23 de 2015, Art. 53; D.E. 35 de 2022, Art. 24; Acuerdo 03-2022, Art. 42</t>
  </si>
  <si>
    <t>PA-11</t>
  </si>
  <si>
    <t>RR-06 · Sin control centralizado de reportes a la SSRP. Hay remisiones puntuales documentadas, pero no se evidencia un control centralizado de reportes y cuestionarios a la SSRP con aprobación previa del Comité.</t>
  </si>
  <si>
    <t>Memorial Informe de Gestión 2023; correo de remisión Programa 2025</t>
  </si>
  <si>
    <t>Remisiones puntuales evidenciadas.</t>
  </si>
  <si>
    <t>Acuerdo 03-2022, Arts. 10 (num. 21), 12 y 13</t>
  </si>
  <si>
    <t>CD-01 · Aplicación de la política de conservación sin evidencia operativa. La política existe, pero no se aportaron el inventario de repositorios, los plazos aplicados por tipo de documento ni pruebas de recuperación, por lo que no puede confirmarse que los registros se conserven al menos cinco años desde que termina la relación ni que las operaciones puedan reconstruirse.</t>
  </si>
  <si>
    <t>Política de conservación de documentos; aclaración de aprobaciones</t>
  </si>
  <si>
    <t>Inventario y pruebas de recuperación pendientes de entrega.</t>
  </si>
  <si>
    <t>Conservación de Documentos</t>
  </si>
  <si>
    <t>Ley 23 de 2015, Art. 29; D.E. 35 de 2022, Arts. 20 y 24; Acuerdo 03-2022, Arts. 15 (num. 13), 33 y 42</t>
  </si>
  <si>
    <t>PA-28</t>
  </si>
  <si>
    <t>CD-02 · Integridad de expedientes comprometida. Los expedientes de clientes contienen documentos ilegibles, vencidos, de otras personas o sociedades y formularios en versiones anteriores; los de colaboradores carecen de contratos y constancias.</t>
  </si>
  <si>
    <t>Matriz de expedientes de clientes; análisis de expedientes de colaboradores</t>
  </si>
  <si>
    <t>Validado con las pruebas de expedientes.</t>
  </si>
  <si>
    <t>D.E. 35 de 2022, Art. 20; Acuerdo 03-2022, Art. 33</t>
  </si>
  <si>
    <t>CD-03 · Registros de alertas en hojas de cálculo y sin respaldo evidenciado. Las alertas se registran en hojas de cálculo sin control de versiones, y no hay evidencia de copia de seguridad del registro de operaciones en efectivo.</t>
  </si>
  <si>
    <t>Registros de alertas</t>
  </si>
  <si>
    <t>Acuerdo 03-2022, Art. 62 (num. 2, lit. d)</t>
  </si>
  <si>
    <t>CD-04 · Expediente de gobierno incompleto. Hay actas sin firma y las actas del Comité de los trimestres II a IV de 2024 están pendientes de entrega.</t>
  </si>
  <si>
    <t>Actas de Junta y del Comité</t>
  </si>
  <si>
    <t>Actas pendientes de entrega.</t>
  </si>
  <si>
    <t>Acuerdo 03-2022, Arts. 11 y 17</t>
  </si>
  <si>
    <t>CD-05 · Controles DLP sin reportes a Cumplimiento. No se cuenta con evidencia de que los controles DLP generen reportes a la Oficial, y la vacante del Oficial de Protección de Datos dificulta equilibrar conservación y protección de datos.</t>
  </si>
  <si>
    <t>RESYCON-7</t>
  </si>
  <si>
    <t>Acuerdo 03-2022, Art. 15 (num. 10); Ley 81 de 2019</t>
  </si>
  <si>
    <t>OM-01 · Verificación integral de expedientes de intermediarios (Grupo B) y reaseguradoras. Confirmar que los expedientes de corredores, agencias y reaseguradoras estén al día conforme a los plazos bienal y anual de CONSUREG-10.</t>
  </si>
  <si>
    <t>Oportunidad de Mejora</t>
  </si>
  <si>
    <t>POL-CUM-27-CONSUREG-10</t>
  </si>
  <si>
    <t>Revisión puntual antes del cierre de año (PA-30).</t>
  </si>
  <si>
    <t>Período 2024-2025</t>
  </si>
  <si>
    <t>Acuerdo 03-2022 (buena práctica)</t>
  </si>
  <si>
    <t>Período</t>
  </si>
  <si>
    <t>OM-02 · Procedimiento formal de control de cambios normativos. Asegurar que las referencias regulatorias de todos los documentos se actualicen cuando entre en vigor una nueva norma de la SSRP u otro regulador.</t>
  </si>
  <si>
    <t>Marco normativo institucional</t>
  </si>
  <si>
    <t>Diseñar alertas normativas con responsables y plazos (PA-22).</t>
  </si>
  <si>
    <t>OM-03 · Validación de la metodología de clasificación de riesgo del cliente. Confirmar que la metodología incluya todas las variables del Acuerdo 03-2022 (transferencias, origen y fuente de recursos, canales) y la periodicidad de actualización por riesgo.</t>
  </si>
  <si>
    <t>MPREMET-21; CONCLI-15</t>
  </si>
  <si>
    <t>Entregar la metodología para su revisión (PA-09).</t>
  </si>
  <si>
    <t>RM-01 · Adecuación del Manual y las políticas (Arts. 10, 11, 46 y 47). Confirmar que la versión vigente del Manual y de cada política ya incorpora el Acuerdo 07-2025, con aprobación del Comité y ratificación de la Junta. Si quedara algún documento pendiente, cerrarlo en una sesión extraordinaria apoyada en una matriz de brechas.</t>
  </si>
  <si>
    <t>GC / PP</t>
  </si>
  <si>
    <t>Qué cambia: El Acuerdo rige desde el 10-12-2025 y dio 60 días para adecuar manuales y controles; deroga parcialmente el Acuerdo 03-2022 para el Grupo A. Situación en Ancón: Los documentos revisados del período citan el Acuerdo 03-2022, como correspondía. Las entrevistas mencionan un Manual v4.0.</t>
  </si>
  <si>
    <t>Hoja de ruta Acuerdo 07-2025</t>
  </si>
  <si>
    <t>Acuerdo SSRP 07-2025 (fuera del alcance; valor agregado)</t>
  </si>
  <si>
    <t>Fase 1</t>
  </si>
  <si>
    <t>RM-02 · Nombramiento del Oficial de Cumplimiento (Arts. 4 y 6). Diseñar la separación de funciones bajo este estándar y preparar el expediente del perfil para la SSRP si cambia el titular.</t>
  </si>
  <si>
    <t>GC</t>
  </si>
  <si>
    <t>Qué cambia: Notificación a la SSRP 15 días calendario antes del nombramiento para su aprobación; el candidato debe dejar cualquier función incompatible. Situación en Ancón: Oficial con doble función Cumplimiento/Legal (GC-01).</t>
  </si>
  <si>
    <t>RM-03 · Informes trimestrales a Comité y Junta (Art. 7, lit. h). Calendarizar cuatro informes al año con un contenido estándar: avance del programa, alertas y ROS, riesgos, capacitación y observaciones.</t>
  </si>
  <si>
    <t>Qué cambia: La periodicidad pasa a ser trimestral fija. Situación en Ancón: Informe combinado del III y IV trimestre de 2024 (PAC-02); sin informes del Comité a la Junta (GC-04).</t>
  </si>
  <si>
    <t>RM-04 · Programa de Cumplimiento (Art. 9). Estructurar el Programa 2027 con los nueve contenidos mínimos y un tablero de indicadores, y aprobarlo antes del 30 de enero de 2027.</t>
  </si>
  <si>
    <t>PAC</t>
  </si>
  <si>
    <t>Qué cambia: Contenido mínimo definido (literales a a i), alcance de grupo y remisión a la SSRP en los primeros 30 días del año. Situación en Ancón: Programa 2025 remitido a la SSRP; sin indicadores de avance (PAC-04).</t>
  </si>
  <si>
    <t>Fase 2</t>
  </si>
  <si>
    <t>RM-05 · Políticas mínimas (Art. 11). Mantener las políticas actuales como buena práctica y verificar que la de reaseguro cumpla el lit. b; aprobarlas en Comité y ratificarlas en Junta.</t>
  </si>
  <si>
    <t>PP</t>
  </si>
  <si>
    <t>Qué cambia: Cinco políticas mínimas, incluida una de debida diligencia sobre relaciones de reaseguro. Situación en Ancón: Ancón ya cuenta con un conjunto más amplio de políticas (fortaleza).</t>
  </si>
  <si>
    <t>RM-06 · Evaluación de riesgo y apetito (Arts. 8 y 12). Construir la matriz institucional de una vez bajo este estándar y acompañarla de una declaración de apetito de riesgo aprobada por la Junta, con límites e indicadores.</t>
  </si>
  <si>
    <t>ER</t>
  </si>
  <si>
    <t>Qué cambia: Las medidas de control deben responder al apetito de riesgo; la evaluación se hace con la periodicidad que fije el Manual y debe estar disponible para la SSRP. Situación en Ancón: Matrices por factor referidas como aprobadas, no entregadas; sin evaluación institucional ni apetito de riesgo (ER-01).</t>
  </si>
  <si>
    <t>RM-07 · Variables de riesgo del cliente (Art. 23). Incluir las once variables del Art. 23 en el Módulo de Perfil de Riesgo y documentarlas en la metodología.</t>
  </si>
  <si>
    <t>Qué cambia: Incorpora la residencia fiscal y exige escala alto, medio y bajo descrita en la metodología. Situación en Ancón: Metodología de clasificación del cliente no entregada para revisión.</t>
  </si>
  <si>
    <t>RM-08 · Debida diligencia simplificada (Art. 15). Parametrizar en el sistema que estos productos no puedan recibir debida diligencia simplificada y llevar Fianzas al módulo institucional.</t>
  </si>
  <si>
    <t>DD</t>
  </si>
  <si>
    <t>Qué cambia: No se permite en vida individual con ahorro, fianzas ni productos con devolución de prima. Situación en Ancón: Fianzas perfila fuera del módulo institucional (DD-04).</t>
  </si>
  <si>
    <t>RM-09 · Personas jurídicas y beneficiario final (Arts. 16 y 18). Actualizar el CTC de persona jurídica con los campos del Art. 16 y un control de vigencia de certificados.</t>
  </si>
  <si>
    <t>RM-10 · Debida diligencia ampliada (Art. 17). Configurar disparadores automáticos de debida diligencia ampliada para cada supuesto del Art. 17.</t>
  </si>
  <si>
    <t>Qué cambia: Supuestos obligatorios: efectivo de B/.10,000 o más sin justificación, vida con ahorro, PEP, jurisdicciones de riesgo y bienes de doble uso. Situación en Ancón: Sin activación automática por riesgo (MT-07).</t>
  </si>
  <si>
    <t>RM-11 · Personas expuestas políticamente (Arts. 19 y 20). Ajustar el flujo de aprobación de PEP para que lo firme el Gerente General y automatizar la detección.</t>
  </si>
  <si>
    <t>Qué cambia: La aprobación de la relación corresponde al Gerente General; se prohíbe el trato discriminatorio. Situación en Ancón: Detección de PEP no autodeclarados manual (MT-05).</t>
  </si>
  <si>
    <t>RM-12 · Perfil financiero del contratante y pagador (Art. 21). Hacer obligatorios estos campos en el CTC y validarlos antes de emitir.</t>
  </si>
  <si>
    <t>Qué cambia: Debe considerar patrimonio e ingresos fijos y variables del contratante o de quien paga la prima. Situación en Ancón: Perfil financiero incompleto en expedientes (DD-01).</t>
  </si>
  <si>
    <t>RM-13 · Jurisdicciones de riesgo (Art. 22). Mantener una lista de países de riesgo actualizada trimestralmente e integrada al perfil del cliente.</t>
  </si>
  <si>
    <t>Qué cambia: Se consideran sanciones de la UE, Reino Unido, ONU y EE. UU., y las jurisdicciones señaladas por el GAFI. Situación en Ancón: Barridos evidenciados; procedimiento ante coincidencias por formalizar (DD-05).</t>
  </si>
  <si>
    <t>RM-14 · Nuevos productos y tecnologías (Art. 7, lit. c). Incorporar un formulario de evaluación de riesgo obligatorio en el proceso de aprobación de productos y canales.</t>
  </si>
  <si>
    <t>Qué cambia: Evaluación de riesgo previa al lanzamiento. Situación en Ancón: Canal web sin evaluación previa documentada (ER-04).</t>
  </si>
  <si>
    <t>Fase 3</t>
  </si>
  <si>
    <t>RM-15 · Reportes de efectivo (Art. 24). Ajustar el procedimiento al nuevo plazo y evaluar si la restricción del efectivo justifica pasar al régimen semestral o a la declaración jurada, comunicándolo a la UAF.</t>
  </si>
  <si>
    <t>RR</t>
  </si>
  <si>
    <t>Qué cambia: Plazo de 10 días hábiles (antes 5); régimen semestral para operaciones ocasionales y declaración jurada si no hay operaciones. Situación en Ancón: Restricción del efectivo desde enero de 2026 (PP-09).</t>
  </si>
  <si>
    <t>RM-16 · Operaciones inusuales y sospechosas (Arts. 25 y 26). Diseñar el registro único y el procedimiento de ROS directamente con este estándar.</t>
  </si>
  <si>
    <t>RR / MT</t>
  </si>
  <si>
    <t>Qué cambia: Constancia de cada operación inusual con su responsable y decisión; notificación inmediata del ROS. Situación en Ancón: Sin ROS en el período y sin registro de inusuales (RR-01); caso Fianzas 2024 (RR-02).</t>
  </si>
  <si>
    <t>RM-17 · Reportes a la SSRP (Art. 7, lit. l). Incluir esta aprobación en el calendario regulatorio y en el temario del Comité.</t>
  </si>
  <si>
    <t>Qué cambia: Todo reporte o cuestionario a la SSRP requiere aprobación previa del Comité. Situación en Ancón: Sin control centralizado (RR-06).</t>
  </si>
  <si>
    <t>RM-18 · Auditoría interna (Art. 8). Incluir en el plan anual una revisión de Cumplimiento y de las herramientas AML/CFT.</t>
  </si>
  <si>
    <t>Qué cambia: Procedimientos continuos de Auditoría Interna sobre la efectividad del sistema de prevención. Situación en Ancón: Plan 2025 sin revisión de Cumplimiento (GC-07).</t>
  </si>
  <si>
    <t>RM-19 · Régimen sancionatorio (Arts. 37 a 43). Presentar a la Junta un mapa de tipificaciones del nuevo régimen y usarlo para priorizar el plan de acción.</t>
  </si>
  <si>
    <t>Transversal</t>
  </si>
  <si>
    <t>Qué cambia: Tipifica expresamente, entre otras, la falta de exclusividad del Oficial (gravedad media) y la emisión de una póliza a quien no facilite la debida diligencia ampliada (gravedad máxima). Situación en Ancón: Varias de estas conductas aparecen en los hallazgos del período.</t>
  </si>
  <si>
    <t>RM-20 · Capacitación y divulgación (Arts. 7, lits. b e i; 41, lit. d). Incluir un módulo sobre el Acuerdo 07-2025 para Junta, Gerencia y áreas sensibles, con constancia individual.</t>
  </si>
  <si>
    <t>Qué cambia: Programa anual para colaboradores, Oficial de Cumplimiento y Gerente General; divulgación de la normativa a todo el personal. Situación en Ancón: Capacitaciones ejecutadas; constancias individuales incompletas (PAC-05).</t>
  </si>
  <si>
    <t>RM-21 · Evaluación independiente (Ley 23, Art. 45). Mantener la evaluación independiente al menos cada dos años como buena práctica y programar la próxima con alcance sobre el Acuerdo 07-2025.</t>
  </si>
  <si>
    <t>Qué cambia: El Acuerdo 07-2025 no la regula expresamente para el Grupo A; sigue rigiendo la Ley 23. Situación en Ancón: Esta evaluación cubre el período 2024-2025.</t>
  </si>
  <si>
    <t>RM-22 · Señales de alerta (Art. 47). Adoptar formalmente, por acuerdo del Comité, el catálogo de tipologías de la UAF como referencia y mantener actualizado cada año el catálogo propio por línea de negocio.</t>
  </si>
  <si>
    <t>MT / PP</t>
  </si>
  <si>
    <t>Qué cambia: Se deroga el Acuerdo 02-2015, que contenía el catálogo oficial de señales de alerta. Situación en Ancón: Ancón tiene catálogo propio 2025 y en la evaluación se utilizó el catálogo de tipologías de la UAF.</t>
  </si>
  <si>
    <t>RM-23 · Conservación y respaldo (Arts. 24 y 42, lit. a). Incluir estos requisitos en la política de conservación y probar la recuperación una vez al año.</t>
  </si>
  <si>
    <t>CD</t>
  </si>
  <si>
    <t>Qué cambia: Conservación de formularios y soportes por al menos cinco años y copia de seguridad del registro de efectivo. Situación en Ancón: Sin respaldo evidenciado (CD-03).</t>
  </si>
  <si>
    <t>RM-24 · Planes de actualización de expedientes (Art. 7, lits. f y g). Formalizar ambos planes con metas trimestrales y reportarlos en el informe trimestral.</t>
  </si>
  <si>
    <t>PAC / DD</t>
  </si>
  <si>
    <t>Qué cambia: Planes de actualización de clientes con operaciones inconsistentes y de colaboradores, con informe a Comité y Junta. Situación en Ancón: Expedientes de colaboradores desactualizados (DD-08).</t>
  </si>
  <si>
    <t>MAPA DE RIESGO – ASEGURADORA ANCÓN, S.A. (Probabilidad × Impacto)</t>
  </si>
  <si>
    <t>Los valores de cada celda son generados automáticamente desde la hoja Riesgos  |  COUNTIF(Riesgos!$I$4:$I$120)  |  Evaluación Independiente 2024-2025</t>
  </si>
  <si>
    <t>PROBABILIDAD ↓  /  IMPACTO →</t>
  </si>
  <si>
    <t>1
Insignificante</t>
  </si>
  <si>
    <t>2
Menor</t>
  </si>
  <si>
    <t>3
Moderado</t>
  </si>
  <si>
    <t>4
Mayor</t>
  </si>
  <si>
    <t>5
Catastrófico</t>
  </si>
  <si>
    <t>5  Frecuente</t>
  </si>
  <si>
    <t>4  Probable</t>
  </si>
  <si>
    <t>3  Ocasional</t>
  </si>
  <si>
    <t>2  Posible</t>
  </si>
  <si>
    <t>1  Improbable</t>
  </si>
  <si>
    <t>Score</t>
  </si>
  <si>
    <t>LEYENDA DE NIVELES DE RIESGO</t>
  </si>
  <si>
    <t>P×I ≥ 15</t>
  </si>
  <si>
    <t>Acción inmediata (0-30 días). Reporte obligatorio a Junta Directiva y Oficial de Cumplimiento.</t>
  </si>
  <si>
    <t>P×I 8-12</t>
  </si>
  <si>
    <t>Plan de acción formal (30-60 días). Monitoreo mensual.</t>
  </si>
  <si>
    <t>P×I 4-6</t>
  </si>
  <si>
    <t>Medidas correctivas (60-90 días). Monitoreo trimestral.</t>
  </si>
  <si>
    <t>P×I 1-3</t>
  </si>
  <si>
    <t>Riesgo aceptable con controles mínimos. Monitoreo semestral.</t>
  </si>
  <si>
    <t>No es hallazgo de incumplimiento. Mejora preventiva o adecuación normativa prospectiva.</t>
  </si>
  <si>
    <t>RESUMEN – BRECHAS Y OPORTUNIDADES DE MEJORA  (Período: julio 2024 – junio 2025)</t>
  </si>
  <si>
    <t>Brechas CRÍTICAS</t>
  </si>
  <si>
    <t>Brechas MEDIO-ALTO</t>
  </si>
  <si>
    <t>Brechas MEDIAS</t>
  </si>
  <si>
    <t>Brechas BAJAS</t>
  </si>
  <si>
    <t>Oportunidades de Mejora</t>
  </si>
  <si>
    <t>TOTAL HALLAZGOS (Brechas)</t>
  </si>
  <si>
    <t>TOTAL REGISTROS EN MATRIZ</t>
  </si>
  <si>
    <t>RESUMEN POR COMPONENTE – BRECHAS DEL PERÍODO (julio 2024 – junio 2025)</t>
  </si>
  <si>
    <t>Componente</t>
  </si>
  <si>
    <t>TOTAL</t>
  </si>
  <si>
    <t>Nota: las oportunidades de mejora (OM) no se califican como brechas. Las RM corresponden a la hoja de ruta hacia el Acuerdo SSRP 07-2025, que está fuera del alcance de la evaluación del período y se incluye como valor agregado.</t>
  </si>
  <si>
    <t>GC-01 · Oficial de Cumplimiento con doble función y sin apoyo profesional. La Oficial de Cumplimiento también dirige el área Legal, rol en el que reporta al Gerente General, lo que limita su dedicación a la función y puede afectar su independencia. El Departamento cuenta con una asistente de apoyo administrativo, pero no con personal profesional para monitoreo, debida diligencia ni gestión de alertas. La SSRP señaló esta situación en la inspección DSR-0924-2023 y su atención sigue pendiente.</t>
  </si>
  <si>
    <t>GC-03 · Comité sin calendario ni temario y actas de seguimiento de 2024 no aportadas. El Reglamento permitía sesionar con dos de seis integrantes, incluso sin directores. La convocatoria y la agenda dependían de la Oficial de Cumplimiento, a quien el Comité supervisa, y no existían calendario anual ni temario mínimo. Ancón indica que entre la sesión del 17 de abril de 2024 y la del 28 de mayo de 2025 hubo sesiones de seguimiento sin nuevas aprobaciones, pero sus actas no han sido aportadas, de modo que el mínimo de dos sesiones anuales que el Reglamento fijaba para 2024 no puede verificarse documentalmente.</t>
  </si>
  <si>
    <t>GC-04 · Sin informes del Comité a la Junta y autoevaluación sin soporte. El Reglamento no definía periodicidad, formato ni contenido del reporte del Comité a la Junta; no se aportaron informes a la Junta, y Ancón indicó que no existe un informe anual de gestión del Comité. Tampoco se evaluó el desempeño del Comité en 2024 ni en 2025; esto se atendió después, con la actualización al Acuerdo 3-2025. La autoevaluación de octubre de 2025 es un buen comienzo, pero sus 19 respuestas afirmativas no tienen soporte, la hoja de resumen marca 0 % por un error de fórmulas, no evalúa el funcionamiento, la composición del Comité ni la calidad de la información que recibe, y no está firmada ni fue presentada a la Junta.</t>
  </si>
  <si>
    <t>GC-06 · Debilidades de trazabilidad en documentos de gobierno. El acta de Junta del 20-01-2021 aprueba un reglamento sin identificar código ni versión, no muestra firmas y cita un "Acuerdo 22" que no corresponde; la lista de integrantes del Comité no está al día; el Manual del Sistema de Control Interno V2.0 (2024) solo cambió el formato de la versión de 2020 y aún remite a normas de la Superintendencia Financiera de Colombia; y el Manual de RR.HH. no indica quién lo aprobó.</t>
  </si>
  <si>
    <t>GC-07 · Planificación de Auditoría Interna sin enfoque de riesgo explícito. Los Planes de Auditoría Interna 2024 y 2025 no muestran una planificación basada en riesgos ni los elementos formales de aprobación, alcance, recursos y reprogramación de trabajos no ejecutados, y el Plan 2025 no incluye la revisión del área de Cumplimiento. Como aspecto positivo, Ancón aportó un informe anual de Auditoría Interna al Departamento de Cumplimiento; recomendamos que la revisión de Cumplimiento quede programada de forma expresa en cada plan anual.</t>
  </si>
  <si>
    <t>GC-09 · Vacantes en funciones que sostienen el modelo de prevención. Están vacantes o concentradas las posiciones de Oficial de Protección de Datos, Gerencia de Recursos Humanos y una gerencia propia para Emisión, que hoy reporta a la Gerencia General. La designación del Oficial de Protección de Datos se planteó en comité, pero sigue sin resolverse.</t>
  </si>
  <si>
    <t>PP-04 · Actualización de colaboradores sin diferenciar por riesgo. La política fija una revisión anual para todos los colaboradores, sin importar su riesgo (DPRPACO-17, numeral 7), aunque ella misma invoca la calificación de la Matriz de Riesgo de Colaboradores como fundamento de la periodicidad; en la práctica, la matriz no cambia la frecuencia del control. Además, la Política Conoce a tu Colaborador la emite Legal sin participación de Recursos Humanos, que la ejecuta.</t>
  </si>
  <si>
    <t>PP-07 · Política de herramientas tecnológicas desactualizada. GESADHE-12 (v1.0, enero de 2023) no se ha actualizado desde su emisión; no describe el estado real de DEIVID ni los controles alternativos que aplican mientras la automatización no esté lista.</t>
  </si>
  <si>
    <t>PAC-01 · Evidencia incompleta de remisión y ratificación de los programas. La aprobación de los programas por el Comité está documentada en la aclaración de Ancón (reprogramación del Plan 2024 en el acta del 17-04-2024 y del Plan 2025 en las sesiones de 2025). Sin embargo, el memorial de remisión del Programa 2024 a la SSRP está pendiente de entrega; para 2025 se cuenta con el correo de remisión, pero no con el sello de recibido; el acta de Junta de ratificación del Programa 2024 se recibió con el archivo dañado; y las demás ratificaciones de la Junta están sujetas a confirmación.</t>
  </si>
  <si>
    <t>PAC-02 · Informe combinado del III y IV trimestre de 2024. El seguimiento del III y IV trimestre de 2024 se presentó en un solo informe, el 3 de enero de 2025, que cubre seis meses en lugar de los tres que corresponden a un informe trimestral; además, no se aportaron las actas que evidencien su conocimiento por el Comité en 2024.</t>
  </si>
  <si>
    <t>PAC-06 · Seguimiento de hallazgos SSRP no integrado al programa. Ancón preparó una matriz de seguimiento del cierre de hallazgos de la SSRP y de la evaluación independiente anterior, lo que valoramos. Sin embargo, ese seguimiento no está incorporado al Programa Anual como actividades con hitos y evidencia, y algunas condiciones observadas en 2022 siguen en proceso de atención.</t>
  </si>
  <si>
    <t>MT-01 · Monitoreo transaccional manual sin cronograma de automatización. El monitoreo es manual, mensual y depende del criterio de cada persona. No existe monitoreo automatizado ni un cronograma comprometido para DEIVID; la SSRP observó esta situación en 2022 y su atención sigue en proceso, por lo que la calificamos con impacto mayor.</t>
  </si>
  <si>
    <t>DD-01 · Observaciones en el 88.24 % de los expedientes de clientes. Las más frecuentes fueron: formularios CTC ausentes, incompletos, de otro cliente o en versiones anteriores; formularios sin firma o firmados por terceros; perfil financiero, actividad e información tributaria incompletos; preguntas sobre condición PEP sin responder; identificaciones ausentes, ilegibles, vencidas o de otra persona; y consultas en Inspektor y Visor Judicial sin evidencia o hechas sobre otra persona, con un caso verificado después de la emisión. En personas jurídicas se encontraron certificados de Registro Público vencidos, avisos de operación sin firma, documentos de otra sociedad y aprobaciones especiales faltantes.</t>
  </si>
  <si>
    <t>DD-02 · Emisión sin perfil de riesgo y canal web con CTC incompleto. Hay clientes sin perfil de riesgo en el sistema (hallazgo crítico de la SSRP en 2022). El Comité ratificó en abril de 2024 excepciones a la regla de bloqueo del sistema (en particular en renovaciones) y una excepción de autogestión de perfilado por correo o App, y en 2025 evaluó su permanencia; sin embargo, no se aportó evidencia de que el bloqueo impida emitir sin perfil en todos los canales ni un registro de las excepciones aplicadas. En el canal web se emiten pólizas de auto, incendio y multirriesgo con el CTC incompleto, sin control posterior.</t>
  </si>
  <si>
    <t>DD-06 · Aprobaciones especiales faltantes en expedientes. La SSRP observó en 2022 aprobaciones especiales vencidas o sin soporte, y en la prueba de expedientes de personas jurídicas encontramos aprobaciones especiales faltantes. Además, el listado de clientes con documentación pendiente gestionados bajo excepción no registra el motivo de cada excepción, el responsable de subsanarla ni la fecha límite, lo que impide a Cumplimiento identificar casos vencidos y evidenciar las gestiones de regularización.</t>
  </si>
  <si>
    <t>DD-07 · Enfoque basado en riesgo no interiorizado en el área comercial. En la Gerencia Comercial de Casa Matriz se aplica la misma diligencia a todos los clientes ("a todos les buscamos lo mismo"), y en el área comercial es frecuente entender la debida diligencia como "la revisión del expediente".</t>
  </si>
  <si>
    <t>DD-08 · Conoce a tu Colaborador desactualizado. El nivel de riesgo del colaborador está desactualizado en el 96.7 % de la muestra (mayoría cercana a 20 meses), con brechas en constancias de capacitación, evaluaciones de desempeño, contratos y Reglamento Interno (ver tabla). La falta de evaluación de desempeño no es solo administrativa: el Art. 16 del Acuerdo 03-2022 la vincula con la actualización de la debida diligencia del colaborador.</t>
  </si>
  <si>
    <t>ER-02 · Evaluaciones por proceso posteriores al período y en borrador. Según la aclaración de Ancón, las evaluaciones de riesgo por proceso se aprobaron en el Comité el 17-04-2024 y se actualizaron en 2025. Sin embargo, no se aportaron las versiones aprobadas en 2024: las evaluaciones aportadas de Emisión y Reclamos son de julio de 2025, posteriores al cierre del período; la de Reclamos es un borrador y no consta la aprobación de la actualización de Emisión.</t>
  </si>
  <si>
    <t>RR-02 · Caso de Fianzas 2024 no escalado a Cumplimiento. Declinar una operación no reemplaza el reporte interno: la obligación incluye las tentativas, y sin ese reporte Cumplimiento no pudo evaluar si correspondía un ROS. Además, la detección de operaciones inusuales depende sobre todo de la experiencia de cada colaborador: el personal con menos antigüedad o de primer contacto dijo no haber identificado operaciones inusuales o no tener claro el concepto.</t>
  </si>
  <si>
    <t>Qué cambia: Lista de datos mínimos (incluidos estados financieros o declaración de renta), beneficiario final desde 10 % y abstención si sigue en proceso de atención la duda. Situación en Ancón: Documentación societaria incompleta o vencida (DD-01).</t>
  </si>
  <si>
    <t>Período: 1 julio 2024 – 30 junio 2025  |  Elaborado: José A. Serrano  |  Octubre de 2026</t>
  </si>
  <si>
    <t>ASEGURADORA ANCÓN, S.A. – PLAN DE ACCIÓN (PA-01 a PA-31) – Informe Final PBC</t>
  </si>
  <si>
    <t>ID</t>
  </si>
  <si>
    <t>ACCIÓN</t>
  </si>
  <si>
    <t>PRIORIDAD</t>
  </si>
  <si>
    <t>RESPONSABLE</t>
  </si>
  <si>
    <t>PLAZO</t>
  </si>
  <si>
    <t>EVIDENCIA</t>
  </si>
  <si>
    <t>REGISTROS VINCULADOS</t>
  </si>
  <si>
    <t>BRECHAS CRÍTICAS</t>
  </si>
  <si>
    <t>BRECHAS MEDIO-ALTO</t>
  </si>
  <si>
    <t>Llevar a la Junta la decisión de separar las funciones de Cumplimiento y Legal, aprobar al menos un analista PBC dedicado y formalizar en acta la designación y la descripción de puesto del Oficial.</t>
  </si>
  <si>
    <t>Crítica</t>
  </si>
  <si>
    <t>Junta Directiva / Gerencia General</t>
  </si>
  <si>
    <t>30 días</t>
  </si>
  <si>
    <t>Acta de Junta; perfil y requisición</t>
  </si>
  <si>
    <t>Actualizar la matriz de seguimiento del cierre de hallazgos de la inspección DSR-0924-2023 (entregada el 16-01-2026) con estado y evidencia por hallazgo; aprobarla en Comité y Junta y valorar su envío a la SSRP.</t>
  </si>
  <si>
    <t>RR / GC</t>
  </si>
  <si>
    <t>Oficial de Cumplimiento</t>
  </si>
  <si>
    <t>Matriz actualizada y aprobada; actas</t>
  </si>
  <si>
    <t>Analizar y documentar el caso de Fianzas 2024 y decidir sobre el ROS; enviar una circular sobre el reporte obligatorio de señales de alerta, incluidas tentativas.</t>
  </si>
  <si>
    <t>Oficial de Cumplimiento / Fianzas</t>
  </si>
  <si>
    <t>15 días</t>
  </si>
  <si>
    <t>Expediente del caso; decisión firmada; circular</t>
  </si>
  <si>
    <t>Aprobar el procedimiento de operaciones inusuales y sospechosas con registro único, criterios de escalamiento, revisión de calidad del formato UAF y registro de decisiones de no reportar.</t>
  </si>
  <si>
    <t>Oficial de Cumplimiento / Comité</t>
  </si>
  <si>
    <t>Procedimiento aprobado; registro en uso</t>
  </si>
  <si>
    <t>Configurar el bloqueo de emisión sin perfil de riesgo aprobado y sin CTC completo, incluido el canal web, con aviso de perfiles por vencer.</t>
  </si>
  <si>
    <t>Tecnología / Oficial de Cumplimiento / Producción</t>
  </si>
  <si>
    <t>30 días (diseño) / 60 días (producción)</t>
  </si>
  <si>
    <t>Pruebas y paso a producción</t>
  </si>
  <si>
    <t>Alinear el Manual con la consulta universal en listas que ya se practica; aprobar el procedimiento ante coincidencias y congelamiento preventivo; capacitar a Atención al Cliente; documentar los barridos periódicos.</t>
  </si>
  <si>
    <t>DD / PP</t>
  </si>
  <si>
    <t>Oficial de Cumplimiento / Tecnología</t>
  </si>
  <si>
    <t>Manual ajustado; procedimiento; asistencia; constancia de barridos</t>
  </si>
  <si>
    <t>Aprobar el plan de subsanación de los 75 expedientes observados y completar el registro de excepciones con motivo, responsable, fecha límite y escalamiento.</t>
  </si>
  <si>
    <t>DD / CD</t>
  </si>
  <si>
    <t>Alta</t>
  </si>
  <si>
    <t>Producción / Comercial / Oficial de Cumplimiento</t>
  </si>
  <si>
    <t>30 días (plan) / 90 días (ejecución)</t>
  </si>
  <si>
    <t>Plan aprobado; avance quincenal</t>
  </si>
  <si>
    <t>Actualizar la Matriz de Riesgo de Colaboradores y regularizar contratos, constancias de capacitación y del Reglamento Interno.</t>
  </si>
  <si>
    <t>Recursos Humanos / Oficial de Cumplimiento</t>
  </si>
  <si>
    <t>60 días</t>
  </si>
  <si>
    <t>Matriz actualizada; expedientes completos</t>
  </si>
  <si>
    <t>Entregar las matrices aprobadas (productos, clientes, proveedores, empleados y provincias) y consolidarlas en una Evaluación Institucional de Riesgo BC/FT/FPADM aprobada en Comité y Junta.</t>
  </si>
  <si>
    <t>30 días (metodología) / 90 días (aprobación)</t>
  </si>
  <si>
    <t>Metodología; matriz aprobada</t>
  </si>
  <si>
    <t>Completar el expediente de gobierno: actas del Comité de los trimestres II a IV de 2024; actas de ratificación de la Junta del Manual, la matriz de riesgo, la herramienta de listas, los Programas 2024 y 2025 y el Informe de Gestión 2024; memorial del Programa 2024 y sello de recibido del Programa 2025; e informes a la Junta.</t>
  </si>
  <si>
    <t>PAC / CD</t>
  </si>
  <si>
    <t>Secretaría del Comité / Oficial de Cumplimiento</t>
  </si>
  <si>
    <t>Expediente de gobierno completo</t>
  </si>
  <si>
    <t>Conciliar los reportes de efectivo y cuasi efectivo enviados a la UAF durante el período y conservar los acuses.</t>
  </si>
  <si>
    <t>Conciliación y acuses</t>
  </si>
  <si>
    <t>Aprobar el reglamento del Comité de Cumplimiento (quórum de directores, calendario trimestral, temas mínimos) e iniciar el informe trimestral a la Junta, con el consolidado de alertas y ROS.</t>
  </si>
  <si>
    <t>Junta Directiva / Secretaría</t>
  </si>
  <si>
    <t>Reglamento; calendario; primer informe</t>
  </si>
  <si>
    <t>Aprobar el cronograma de DEIVID con hitos, presupuesto y responsable; completar y firmar el documento de requerimientos; documentar los controles compensatorios.</t>
  </si>
  <si>
    <t>MT</t>
  </si>
  <si>
    <t>Tecnología / Gerencia General / Oficial de Cumplimiento</t>
  </si>
  <si>
    <t>30 días (plan) / 90 días (hitos)</t>
  </si>
  <si>
    <t>Cronograma aprobado; documento firmado</t>
  </si>
  <si>
    <t>Formalizar el procedimiento de gestión y cierre de alertas (incluido el registro de falsos positivos) y del monitoreo de noticias, con formulario de datos mínimos.</t>
  </si>
  <si>
    <t>45 días</t>
  </si>
  <si>
    <t>Procedimiento; formulario; reporte mensual</t>
  </si>
  <si>
    <t>Perfilar al asegurado y al beneficiario; consultar listas antes de pagar reclamos; exigir revisión de Cumplimiento en pagos significativos de alto riesgo o PEP; extender la Política de Excepción a pagos a terceros.</t>
  </si>
  <si>
    <t>DD / MT</t>
  </si>
  <si>
    <t>Reclamos / Oficial de Cumplimiento / Tecnología</t>
  </si>
  <si>
    <t>90 días</t>
  </si>
  <si>
    <t>Parametrización; política actualizada</t>
  </si>
  <si>
    <t>Integrar el perfilamiento de Fianzas al Módulo de Perfil de Riesgo institucional.</t>
  </si>
  <si>
    <t>Fianzas / Tecnología</t>
  </si>
  <si>
    <t>Evidencia en el módulo</t>
  </si>
  <si>
    <t>Aprobar la Evaluación de Reclamos (recalibrando R3 y R4) y confirmar la aprobación de la Evaluación de Emisión.</t>
  </si>
  <si>
    <t>Evaluaciones aprobadas</t>
  </si>
  <si>
    <t>Completar el Código de Ética, aprobar la política de transacciones con partes relacionadas y poner en marcha el canal de denuncia con anonimato.</t>
  </si>
  <si>
    <t>Junta Directiva / Recursos Humanos / Oficial de Cumplimiento</t>
  </si>
  <si>
    <t>Código aprobado; canal operativo</t>
  </si>
  <si>
    <t>Reorganizar el Programa Anual con indicadores y avance por actividad, mantener informes estrictamente trimestrales y calendarizar la aprobación del Informe de Gestión por el Comité.</t>
  </si>
  <si>
    <t>Media</t>
  </si>
  <si>
    <t>Programa ajustado; tablero de indicadores</t>
  </si>
  <si>
    <t>Impartir capacitación por función (Fianzas, Tecnología, Atención al Cliente, Gerencia Comercial), incluidos los criterios y formatos de la UAF, con casos prácticos sobre debida diligencia diferenciada por riesgo y sobre el procedimiento ante coincidencias en listas, evaluación de conocimientos por área y constancia individual.</t>
  </si>
  <si>
    <t>PAC / RR</t>
  </si>
  <si>
    <t>Oficial de Cumplimiento / Recursos Humanos</t>
  </si>
  <si>
    <t>Constancias; evaluaciones</t>
  </si>
  <si>
    <t>Incluir en el Plan de Auditoría Interna 2027, basado en riesgos, la revisión de Cumplimiento y de las herramientas AML/CFT, tomando como insumo el informe de Auditoría Interna al Departamento de Cumplimiento.</t>
  </si>
  <si>
    <t>Auditoría Interna</t>
  </si>
  <si>
    <t>Plan aprobado</t>
  </si>
  <si>
    <t>Corregir los cuadros de control de versiones y crear el registro maestro de documentos.</t>
  </si>
  <si>
    <t>Registro maestro</t>
  </si>
  <si>
    <t>Documentar la calibración de reglas y la gestión de falsos positivos, y automatizar la detección de PEP en toda la cartera.</t>
  </si>
  <si>
    <t>180 días</t>
  </si>
  <si>
    <t>Metodología; informe de calibración</t>
  </si>
  <si>
    <t>Homologar y actualizar las políticas del Grupo B, colaboradores (por riesgo), proveedores, medios de pago, GESADHE-12 y capacitación, y confirmar o aprobar la política de dependencia de terceros.</t>
  </si>
  <si>
    <t>Oficial de Cumplimiento / Recursos Humanos / Compras</t>
  </si>
  <si>
    <t>120 días</t>
  </si>
  <si>
    <t>Políticas aprobadas</t>
  </si>
  <si>
    <t>Completar el estudio de capacidad de Cumplimiento y llevar la revisión anual de recursos al Comité.</t>
  </si>
  <si>
    <t>Gerencia General / Junta Directiva</t>
  </si>
  <si>
    <t>Estudio aprobado</t>
  </si>
  <si>
    <t>PA-26</t>
  </si>
  <si>
    <t>Rediseñar la autoevaluación del Comité con soporte por respuesta y presentarla a la Junta con un plan de acción.</t>
  </si>
  <si>
    <t>Comité de Cumplimiento</t>
  </si>
  <si>
    <t>Autoevaluación firmada</t>
  </si>
  <si>
    <t>Designar suplente del Oficial de Cumplimiento y Oficial de Protección de Datos, documentar la continuidad de la función y actualizar el Manual de Control Interno al marco panameño.</t>
  </si>
  <si>
    <t>Designaciones; documentos aprobados</t>
  </si>
  <si>
    <t>Actualizar la política de conservación (inventario, respaldo del registro de efectivo, pruebas de recuperación y reportes DLP).</t>
  </si>
  <si>
    <t>Política; prueba de recuperación</t>
  </si>
  <si>
    <t>PA-29</t>
  </si>
  <si>
    <t>Revisar cada trimestre una muestra de expedientes (segunda línea), con indicadores por área.</t>
  </si>
  <si>
    <t>Desde el día 90, permanente</t>
  </si>
  <si>
    <t>Informe trimestral de calidad</t>
  </si>
  <si>
    <t>PA-30</t>
  </si>
  <si>
    <t>Revisar los expedientes de intermediarios del Grupo B, reaseguradoras y proveedores.</t>
  </si>
  <si>
    <t>Oficial de Cumplimiento / Comercial</t>
  </si>
  <si>
    <t>150 días</t>
  </si>
  <si>
    <t>Informe de revisión</t>
  </si>
  <si>
    <t>Documentar la evaluación de riesgo del canal web y exigir evaluación previa para nuevos productos, canales y tecnologías.</t>
  </si>
  <si>
    <t>Evaluación documentada</t>
  </si>
  <si>
    <t>ASEGURADORA ANCÓN, S.A. – DASHBOARD DE RIESGO PBC/FT/FPADM – EVALUACIÓN INDEPENDIENTE 2024-2025</t>
  </si>
  <si>
    <t>Período: 1 julio 2024 – 30 junio 2025  |  Fuente: Informe Final PBC – AA  |  Todas las cifras se calculan con fórmulas desde las hojas Riesgos y Plan de Acción</t>
  </si>
  <si>
    <t>TOTAL BRECHAS</t>
  </si>
  <si>
    <t>OPORT. MEJORA (OM+RM)</t>
  </si>
  <si>
    <t>ACCIONES PLAN (PA)</t>
  </si>
  <si>
    <t>TOTAL REGISTROS</t>
  </si>
  <si>
    <t>CALIFICACIÓN POR COMPONENTE (regla del informe: ≥2 CRÍTICO = Nivel 1; 1 CRÍTICO o ≥3 MEDIO-ALTO = Nivel 2; 1-2 MEDIO-ALTO = Nivel 3; resto = Nivel 4)</t>
  </si>
  <si>
    <t>MAPA DE CALOR – BRECHAS (P × I)</t>
  </si>
  <si>
    <t>P×I promedio</t>
  </si>
  <si>
    <t>P×I máximo</t>
  </si>
  <si>
    <t>Calificación del componente</t>
  </si>
  <si>
    <t>PROB. ↓ / IMP. →</t>
  </si>
  <si>
    <t>5 Frecuente</t>
  </si>
  <si>
    <t>4 Probable</t>
  </si>
  <si>
    <t>3 Ocasional</t>
  </si>
  <si>
    <t>2 Posible</t>
  </si>
  <si>
    <t>1 Improbable</t>
  </si>
  <si>
    <t>Ceros = sin brechas en la celda. Los colores siguen la tabla de niveles de la hoja Variables.</t>
  </si>
  <si>
    <t>PLAN DE ACCIÓN POR PRIORIDAD</t>
  </si>
  <si>
    <t>HOJA DE RUTA ACUERDO 07-2025</t>
  </si>
  <si>
    <t>Prioridad</t>
  </si>
  <si>
    <t>Acciones</t>
  </si>
  <si>
    <t>Total</t>
  </si>
  <si>
    <t>Fase</t>
  </si>
  <si>
    <t>RM</t>
  </si>
  <si>
    <t>Plazo</t>
  </si>
  <si>
    <t>0–30 días</t>
  </si>
  <si>
    <t>30–120 días</t>
  </si>
  <si>
    <t>&gt; 120 días</t>
  </si>
  <si>
    <t>DISTRIBUCIÓN DE BRECHAS POR NIVEL</t>
  </si>
  <si>
    <t>Brechas</t>
  </si>
  <si>
    <t>% Crítico + Medio-Alto</t>
  </si>
  <si>
    <t>BRECHAS CRÍTICAS (ordenadas por puntaje P×I) – acción inmediata 0-30 días</t>
  </si>
  <si>
    <t>ID · Brecha</t>
  </si>
  <si>
    <t>P:I</t>
  </si>
  <si>
    <t>Plan de 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</si>
</sst>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General"/>
    <numFmt numFmtId="165" formatCode="0.0"/>
    <numFmt numFmtId="166" formatCode="0.0%"/>
  </numFmts>
  <fonts count="39" x14ac:knownFonts="1">
    <font>
      <sz val="11"/>
      <color theme="1"/>
      <name val="Calibri"/>
      <family val="2"/>
      <charset val="1"/>
    </font>
    <font>
      <b/>
      <sz val="13"/>
      <color rgb="FFFFFFFF"/>
      <name val="Arial"/>
      <charset val="1"/>
    </font>
    <font>
      <sz val="9"/>
      <color rgb="FFFFFFFF"/>
      <name val="Arial"/>
      <charset val="1"/>
    </font>
    <font>
      <b/>
      <sz val="10"/>
      <color rgb="FFFFFFFF"/>
      <name val="Arial"/>
      <charset val="1"/>
    </font>
    <font>
      <b/>
      <sz val="9"/>
      <color rgb="FFFFFFFF"/>
      <name val="Arial"/>
      <charset val="1"/>
    </font>
    <font>
      <sz val="8"/>
      <color rgb="FF404040"/>
      <name val="Arial"/>
      <charset val="1"/>
    </font>
    <font>
      <b/>
      <sz val="9"/>
      <color rgb="FF000000"/>
      <name val="Arial"/>
      <charset val="1"/>
    </font>
    <font>
      <sz val="8"/>
      <color rgb="FF000000"/>
      <name val="Arial"/>
      <charset val="1"/>
    </font>
    <font>
      <sz val="9"/>
      <color rgb="FF000000"/>
      <name val="Arial"/>
      <charset val="1"/>
    </font>
    <font>
      <b/>
      <sz val="8"/>
      <color rgb="FFC00000"/>
      <name val="Arial"/>
      <charset val="1"/>
    </font>
    <font>
      <i/>
      <sz val="8"/>
      <color rgb="FF404040"/>
      <name val="Arial"/>
      <charset val="1"/>
    </font>
    <font>
      <i/>
      <sz val="8"/>
      <color rgb="FF000000"/>
      <name val="Arial"/>
      <charset val="1"/>
    </font>
    <font>
      <b/>
      <sz val="11"/>
      <color rgb="FF000000"/>
      <name val="Arial"/>
      <charset val="1"/>
    </font>
    <font>
      <b/>
      <sz val="11"/>
      <color rgb="FFFFFFFF"/>
      <name val="Arial"/>
      <charset val="1"/>
    </font>
    <font>
      <b/>
      <sz val="8"/>
      <color rgb="FF000000"/>
      <name val="Arial"/>
      <charset val="1"/>
    </font>
    <font>
      <b/>
      <sz val="12"/>
      <color rgb="FFFFFFFF"/>
      <name val="Arial"/>
      <charset val="1"/>
    </font>
    <font>
      <b/>
      <sz val="12"/>
      <color rgb="FF000000"/>
      <name val="Arial"/>
      <charset val="1"/>
    </font>
    <font>
      <b/>
      <sz val="9"/>
      <name val="Arial"/>
      <charset val="1"/>
    </font>
    <font>
      <sz val="9"/>
      <name val="Arial"/>
      <charset val="1"/>
    </font>
    <font>
      <i/>
      <sz val="8"/>
      <color rgb="FF595959"/>
      <name val="Arial"/>
      <charset val="1"/>
    </font>
    <font>
      <b/>
      <sz val="13"/>
      <color rgb="FFFFFFFF"/>
      <name val="Arial"/>
    </font>
    <font>
      <b/>
      <sz val="9"/>
      <color rgb="FFFFFFFF"/>
      <name val="Arial"/>
    </font>
    <font>
      <sz val="9"/>
      <color theme="1"/>
      <name val="Arial"/>
    </font>
    <font>
      <b/>
      <sz val="9"/>
      <color theme="1"/>
      <name val="Arial"/>
    </font>
    <font>
      <sz val="10"/>
      <color theme="1"/>
      <name val="Arial"/>
    </font>
    <font>
      <b/>
      <sz val="16"/>
      <color rgb="FFFFFFFF"/>
      <name val="Arial"/>
    </font>
    <font>
      <i/>
      <sz val="9"/>
      <color rgb="FF595959"/>
      <name val="Arial"/>
    </font>
    <font>
      <sz val="10"/>
      <color rgb="FFFFFFFF"/>
      <name val="Arial"/>
    </font>
    <font>
      <b/>
      <sz val="24"/>
      <color rgb="FFFFFFFF"/>
      <name val="Arial"/>
    </font>
    <font>
      <sz val="10"/>
      <color rgb="FF000000"/>
      <name val="Arial"/>
    </font>
    <font>
      <b/>
      <sz val="9"/>
      <color rgb="FF000000"/>
      <name val="Arial"/>
    </font>
    <font>
      <b/>
      <sz val="24"/>
      <color rgb="FF000000"/>
      <name val="Arial"/>
    </font>
    <font>
      <b/>
      <sz val="11"/>
      <color rgb="FF1F3864"/>
      <name val="Arial"/>
    </font>
    <font>
      <b/>
      <sz val="10"/>
      <color rgb="FFFFFFFF"/>
      <name val="Arial"/>
    </font>
    <font>
      <b/>
      <sz val="10"/>
      <color theme="1"/>
      <name val="Arial"/>
    </font>
    <font>
      <b/>
      <sz val="10"/>
      <color rgb="FF000000"/>
      <name val="Arial"/>
    </font>
    <font>
      <b/>
      <sz val="14"/>
      <color rgb="FF000000"/>
      <name val="Arial"/>
    </font>
    <font>
      <b/>
      <sz val="14"/>
      <color rgb="FFFFFFFF"/>
      <name val="Arial"/>
    </font>
    <font>
      <i/>
      <sz val="8"/>
      <color rgb="FF595959"/>
      <name val="Arial"/>
    </font>
  </fonts>
  <fills count="24">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C00000"/>
        <bgColor rgb="FF800000"/>
      </patternFill>
    </fill>
    <fill>
      <patternFill patternType="solid">
        <fgColor rgb="FFF2F2F2"/>
        <bgColor rgb="FFE2EFDA"/>
      </patternFill>
    </fill>
    <fill>
      <patternFill patternType="solid">
        <fgColor rgb="FFED7D31"/>
        <bgColor rgb="FFFF8080"/>
      </patternFill>
    </fill>
    <fill>
      <patternFill patternType="solid">
        <fgColor rgb="FFFFD966"/>
        <bgColor rgb="FFFFCCCC"/>
      </patternFill>
    </fill>
    <fill>
      <patternFill patternType="solid">
        <fgColor rgb="FF70AD47"/>
        <bgColor rgb="FF92D050"/>
      </patternFill>
    </fill>
    <fill>
      <patternFill patternType="solid">
        <fgColor rgb="FF92D050"/>
        <bgColor rgb="FF70AD47"/>
      </patternFill>
    </fill>
    <fill>
      <patternFill patternType="solid">
        <fgColor rgb="FF7030A0"/>
        <bgColor rgb="FF993366"/>
      </patternFill>
    </fill>
    <fill>
      <patternFill patternType="solid">
        <fgColor rgb="FFFFFFFF"/>
        <bgColor rgb="FFF2F2F2"/>
      </patternFill>
    </fill>
    <fill>
      <patternFill patternType="solid">
        <fgColor rgb="FFD6DCE4"/>
        <bgColor rgb="FFEAD9F7"/>
      </patternFill>
    </fill>
    <fill>
      <patternFill patternType="solid">
        <fgColor rgb="FFC00000"/>
        <bgColor indexed="64"/>
      </patternFill>
    </fill>
    <fill>
      <patternFill patternType="solid">
        <fgColor rgb="FFED7D31"/>
        <bgColor indexed="64"/>
      </patternFill>
    </fill>
    <fill>
      <patternFill patternType="solid">
        <fgColor rgb="FFFFD966"/>
        <bgColor indexed="64"/>
      </patternFill>
    </fill>
    <fill>
      <patternFill patternType="solid">
        <fgColor rgb="FF1F3864"/>
        <bgColor indexed="64"/>
      </patternFill>
    </fill>
    <fill>
      <patternFill patternType="solid">
        <fgColor rgb="FFFFC000"/>
        <bgColor indexed="64"/>
      </patternFill>
    </fill>
    <fill>
      <patternFill patternType="solid">
        <fgColor rgb="FF70AD47"/>
        <bgColor indexed="64"/>
      </patternFill>
    </fill>
    <fill>
      <patternFill patternType="solid">
        <fgColor rgb="FF2E75B6"/>
        <bgColor indexed="64"/>
      </patternFill>
    </fill>
    <fill>
      <patternFill patternType="solid">
        <fgColor rgb="FF7F7F7F"/>
        <bgColor indexed="64"/>
      </patternFill>
    </fill>
    <fill>
      <patternFill patternType="solid">
        <fgColor rgb="FF203864"/>
        <bgColor indexed="64"/>
      </patternFill>
    </fill>
    <fill>
      <patternFill patternType="solid">
        <fgColor rgb="FFD9E1F2"/>
        <bgColor indexed="64"/>
      </patternFill>
    </fill>
    <fill>
      <patternFill patternType="solid">
        <fgColor rgb="FFA9D08E"/>
        <bgColor indexed="64"/>
      </patternFill>
    </fill>
  </fills>
  <borders count="5">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27">
    <xf numFmtId="0" fontId="0" fillId="0" borderId="0" xfId="0"/>
    <xf numFmtId="0" fontId="17" fillId="0" borderId="1" xfId="0" applyFont="1" applyBorder="1"/>
    <xf numFmtId="0" fontId="4" fillId="2" borderId="2" xfId="0" applyFont="1" applyFill="1" applyBorder="1" applyAlignment="1">
      <alignment horizontal="center" vertical="center" wrapText="1"/>
    </xf>
    <xf numFmtId="0" fontId="16" fillId="1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3" fillId="2" borderId="0" xfId="0" applyFont="1" applyFill="1" applyAlignment="1">
      <alignment horizontal="center"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8" fillId="11" borderId="2" xfId="0" applyFont="1" applyFill="1" applyBorder="1" applyAlignment="1">
      <alignment vertical="top" wrapText="1"/>
    </xf>
    <xf numFmtId="0" fontId="9" fillId="11" borderId="2" xfId="0" applyFont="1" applyFill="1" applyBorder="1" applyAlignment="1">
      <alignment horizontal="center" vertical="center" wrapText="1"/>
    </xf>
    <xf numFmtId="0" fontId="10" fillId="11" borderId="2" xfId="0" applyFont="1" applyFill="1" applyBorder="1" applyAlignment="1">
      <alignment vertical="top" wrapText="1"/>
    </xf>
    <xf numFmtId="0" fontId="11" fillId="11" borderId="2" xfId="0" applyFont="1" applyFill="1" applyBorder="1" applyAlignment="1">
      <alignment vertical="top" wrapText="1"/>
    </xf>
    <xf numFmtId="0" fontId="6" fillId="11" borderId="2" xfId="0" applyFont="1" applyFill="1" applyBorder="1" applyAlignment="1">
      <alignment horizontal="center" vertical="center" wrapText="1"/>
    </xf>
    <xf numFmtId="0" fontId="8" fillId="5" borderId="2" xfId="0" applyFont="1" applyFill="1" applyBorder="1" applyAlignment="1">
      <alignment vertical="top" wrapText="1"/>
    </xf>
    <xf numFmtId="0" fontId="9" fillId="5" borderId="2" xfId="0" applyFont="1" applyFill="1" applyBorder="1" applyAlignment="1">
      <alignment horizontal="center" vertical="center" wrapText="1"/>
    </xf>
    <xf numFmtId="0" fontId="10" fillId="5" borderId="2" xfId="0" applyFont="1" applyFill="1" applyBorder="1" applyAlignment="1">
      <alignment vertical="top" wrapText="1"/>
    </xf>
    <xf numFmtId="0" fontId="11" fillId="5" borderId="2" xfId="0" applyFont="1" applyFill="1" applyBorder="1" applyAlignment="1">
      <alignment vertical="top" wrapText="1"/>
    </xf>
    <xf numFmtId="0" fontId="6" fillId="12" borderId="2" xfId="0" applyFont="1" applyFill="1" applyBorder="1" applyAlignment="1">
      <alignment horizontal="center" vertical="center" wrapText="1"/>
    </xf>
    <xf numFmtId="164" fontId="12" fillId="7" borderId="2" xfId="0" applyNumberFormat="1" applyFont="1" applyFill="1" applyBorder="1" applyAlignment="1">
      <alignment horizontal="center" vertical="center" wrapText="1"/>
    </xf>
    <xf numFmtId="164" fontId="13" fillId="6" borderId="2" xfId="0" applyNumberFormat="1" applyFont="1" applyFill="1" applyBorder="1" applyAlignment="1">
      <alignment horizontal="center" vertical="center" wrapText="1"/>
    </xf>
    <xf numFmtId="164" fontId="13" fillId="4" borderId="2" xfId="0" applyNumberFormat="1" applyFont="1" applyFill="1" applyBorder="1" applyAlignment="1">
      <alignment horizontal="center" vertical="center" wrapText="1"/>
    </xf>
    <xf numFmtId="164" fontId="13" fillId="8" borderId="2" xfId="0" applyNumberFormat="1" applyFont="1" applyFill="1" applyBorder="1" applyAlignment="1">
      <alignment horizontal="center" vertical="center" wrapText="1"/>
    </xf>
    <xf numFmtId="0" fontId="0" fillId="5" borderId="0" xfId="0" applyFill="1"/>
    <xf numFmtId="0" fontId="14" fillId="5" borderId="0" xfId="0" applyFont="1" applyFill="1" applyAlignment="1">
      <alignment horizontal="center" vertical="center" wrapText="1"/>
    </xf>
    <xf numFmtId="0" fontId="6" fillId="8" borderId="2" xfId="0" applyFont="1" applyFill="1" applyBorder="1" applyAlignment="1">
      <alignment horizontal="center" vertical="center" wrapText="1"/>
    </xf>
    <xf numFmtId="0" fontId="18" fillId="0" borderId="2" xfId="0" applyFont="1" applyBorder="1" applyAlignment="1">
      <alignment horizontal="center"/>
    </xf>
    <xf numFmtId="0" fontId="17" fillId="0" borderId="2" xfId="0" applyFont="1" applyBorder="1" applyAlignment="1">
      <alignment horizontal="center"/>
    </xf>
    <xf numFmtId="0" fontId="17" fillId="12" borderId="2" xfId="0" applyFont="1" applyFill="1" applyBorder="1" applyAlignment="1">
      <alignment horizontal="center"/>
    </xf>
    <xf numFmtId="0" fontId="17" fillId="12" borderId="0" xfId="0" applyFont="1" applyFill="1"/>
    <xf numFmtId="0" fontId="19" fillId="0" borderId="0" xfId="0" applyFont="1" applyAlignment="1">
      <alignment wrapText="1"/>
    </xf>
    <xf numFmtId="0" fontId="3" fillId="2" borderId="1"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20" fillId="16" borderId="0" xfId="0" applyFont="1" applyFill="1"/>
    <xf numFmtId="0" fontId="0" fillId="16" borderId="0" xfId="0" applyFill="1"/>
    <xf numFmtId="0" fontId="21" fillId="16" borderId="2" xfId="0" applyFont="1" applyFill="1" applyBorder="1" applyAlignment="1">
      <alignment horizontal="center" vertical="center" wrapText="1"/>
    </xf>
    <xf numFmtId="0" fontId="22" fillId="0" borderId="2" xfId="0" applyFont="1" applyBorder="1" applyAlignment="1">
      <alignment vertical="top" wrapText="1"/>
    </xf>
    <xf numFmtId="0" fontId="22" fillId="0" borderId="2" xfId="0" applyFont="1" applyBorder="1" applyAlignment="1">
      <alignment horizontal="center" vertical="top" wrapText="1"/>
    </xf>
    <xf numFmtId="0" fontId="23" fillId="0" borderId="2" xfId="0" applyFont="1" applyBorder="1" applyAlignment="1">
      <alignment vertical="top" wrapText="1"/>
    </xf>
    <xf numFmtId="0" fontId="24" fillId="0" borderId="0" xfId="0" applyFont="1"/>
    <xf numFmtId="0" fontId="24" fillId="0" borderId="0" xfId="0" applyFont="1"/>
    <xf numFmtId="0" fontId="24" fillId="16" borderId="0" xfId="0" applyFont="1" applyFill="1"/>
    <xf numFmtId="0" fontId="25" fillId="16" borderId="0" xfId="0" applyFont="1" applyFill="1" applyAlignment="1">
      <alignment vertical="center"/>
    </xf>
    <xf numFmtId="0" fontId="26" fillId="0" borderId="0" xfId="0" applyFont="1"/>
    <xf numFmtId="0" fontId="21" fillId="16" borderId="0" xfId="0" applyFont="1" applyFill="1" applyAlignment="1">
      <alignment horizontal="center" vertical="center"/>
    </xf>
    <xf numFmtId="0" fontId="28" fillId="16" borderId="0" xfId="0" applyFont="1" applyFill="1" applyAlignment="1">
      <alignment horizontal="center" vertical="center"/>
    </xf>
    <xf numFmtId="0" fontId="27" fillId="13" borderId="0" xfId="0" applyFont="1" applyFill="1" applyAlignment="1">
      <alignment horizontal="center" vertical="center"/>
    </xf>
    <xf numFmtId="0" fontId="21" fillId="13" borderId="0" xfId="0" applyFont="1" applyFill="1" applyAlignment="1">
      <alignment horizontal="center" vertical="center"/>
    </xf>
    <xf numFmtId="0" fontId="28" fillId="13" borderId="0" xfId="0" applyFont="1" applyFill="1" applyAlignment="1">
      <alignment horizontal="center" vertical="center"/>
    </xf>
    <xf numFmtId="0" fontId="27" fillId="14" borderId="0" xfId="0" applyFont="1" applyFill="1" applyAlignment="1">
      <alignment horizontal="center" vertical="center"/>
    </xf>
    <xf numFmtId="0" fontId="21" fillId="14" borderId="0" xfId="0" applyFont="1" applyFill="1" applyAlignment="1">
      <alignment horizontal="center" vertical="center"/>
    </xf>
    <xf numFmtId="0" fontId="28" fillId="14" borderId="0" xfId="0" applyFont="1" applyFill="1" applyAlignment="1">
      <alignment horizontal="center" vertical="center"/>
    </xf>
    <xf numFmtId="0" fontId="29" fillId="17" borderId="0" xfId="0" applyFont="1" applyFill="1" applyAlignment="1">
      <alignment horizontal="center" vertical="center"/>
    </xf>
    <xf numFmtId="0" fontId="30" fillId="17" borderId="0" xfId="0" applyFont="1" applyFill="1" applyAlignment="1">
      <alignment horizontal="center" vertical="center"/>
    </xf>
    <xf numFmtId="0" fontId="31" fillId="17" borderId="0" xfId="0" applyFont="1" applyFill="1" applyAlignment="1">
      <alignment horizontal="center" vertical="center"/>
    </xf>
    <xf numFmtId="0" fontId="27" fillId="18" borderId="0" xfId="0" applyFont="1" applyFill="1" applyAlignment="1">
      <alignment horizontal="center" vertical="center"/>
    </xf>
    <xf numFmtId="0" fontId="21" fillId="18" borderId="0" xfId="0" applyFont="1" applyFill="1" applyAlignment="1">
      <alignment horizontal="center" vertical="center"/>
    </xf>
    <xf numFmtId="0" fontId="28" fillId="18" borderId="0" xfId="0" applyFont="1" applyFill="1" applyAlignment="1">
      <alignment horizontal="center" vertical="center"/>
    </xf>
    <xf numFmtId="0" fontId="27" fillId="19" borderId="0" xfId="0" applyFont="1" applyFill="1" applyAlignment="1">
      <alignment horizontal="center" vertical="center"/>
    </xf>
    <xf numFmtId="0" fontId="21" fillId="19" borderId="0" xfId="0" applyFont="1" applyFill="1" applyAlignment="1">
      <alignment horizontal="center" vertical="center"/>
    </xf>
    <xf numFmtId="0" fontId="28" fillId="19" borderId="0" xfId="0" applyFont="1" applyFill="1" applyAlignment="1">
      <alignment horizontal="center" vertical="center"/>
    </xf>
    <xf numFmtId="0" fontId="27" fillId="20" borderId="0" xfId="0" applyFont="1" applyFill="1" applyAlignment="1">
      <alignment horizontal="center" vertical="center"/>
    </xf>
    <xf numFmtId="0" fontId="21" fillId="20" borderId="0" xfId="0" applyFont="1" applyFill="1" applyAlignment="1">
      <alignment horizontal="center" vertical="center"/>
    </xf>
    <xf numFmtId="0" fontId="28" fillId="20" borderId="0" xfId="0" applyFont="1" applyFill="1" applyAlignment="1">
      <alignment horizontal="center" vertical="center"/>
    </xf>
    <xf numFmtId="0" fontId="27" fillId="21" borderId="0" xfId="0" applyFont="1" applyFill="1" applyAlignment="1">
      <alignment horizontal="center" vertical="center"/>
    </xf>
    <xf numFmtId="0" fontId="21" fillId="21" borderId="0" xfId="0" applyFont="1" applyFill="1" applyAlignment="1">
      <alignment horizontal="center" vertical="center"/>
    </xf>
    <xf numFmtId="0" fontId="28" fillId="21" borderId="0" xfId="0" applyFont="1" applyFill="1" applyAlignment="1">
      <alignment horizontal="center" vertical="center"/>
    </xf>
    <xf numFmtId="0" fontId="32" fillId="22" borderId="0" xfId="0" applyFont="1" applyFill="1"/>
    <xf numFmtId="0" fontId="24" fillId="0" borderId="0" xfId="0" applyFont="1" applyAlignment="1">
      <alignment horizontal="center"/>
    </xf>
    <xf numFmtId="0" fontId="38" fillId="0" borderId="0" xfId="0" applyFont="1"/>
    <xf numFmtId="0" fontId="33" fillId="16" borderId="1" xfId="0" applyFont="1" applyFill="1" applyBorder="1" applyAlignment="1">
      <alignment horizontal="center" wrapText="1"/>
    </xf>
    <xf numFmtId="0" fontId="33" fillId="13" borderId="3" xfId="0" applyFont="1" applyFill="1" applyBorder="1" applyAlignment="1">
      <alignment horizontal="center" wrapText="1"/>
    </xf>
    <xf numFmtId="0" fontId="33" fillId="14" borderId="3" xfId="0" applyFont="1" applyFill="1" applyBorder="1" applyAlignment="1">
      <alignment horizontal="center" wrapText="1"/>
    </xf>
    <xf numFmtId="0" fontId="35" fillId="17" borderId="3" xfId="0" applyFont="1" applyFill="1" applyBorder="1" applyAlignment="1">
      <alignment horizontal="center" wrapText="1"/>
    </xf>
    <xf numFmtId="0" fontId="33" fillId="18" borderId="3" xfId="0" applyFont="1" applyFill="1" applyBorder="1" applyAlignment="1">
      <alignment horizontal="center" wrapText="1"/>
    </xf>
    <xf numFmtId="0" fontId="33" fillId="16" borderId="3" xfId="0" applyFont="1" applyFill="1" applyBorder="1" applyAlignment="1">
      <alignment horizontal="center" wrapText="1"/>
    </xf>
    <xf numFmtId="0" fontId="33" fillId="16" borderId="4" xfId="0" applyFont="1" applyFill="1" applyBorder="1" applyAlignment="1">
      <alignment horizontal="center" wrapText="1"/>
    </xf>
    <xf numFmtId="0" fontId="24" fillId="0" borderId="1" xfId="0" applyFont="1" applyBorder="1"/>
    <xf numFmtId="0" fontId="24" fillId="0" borderId="3" xfId="0" applyFont="1" applyBorder="1" applyAlignment="1">
      <alignment horizontal="center"/>
    </xf>
    <xf numFmtId="165" fontId="24" fillId="0" borderId="3" xfId="0" applyNumberFormat="1" applyFont="1" applyBorder="1" applyAlignment="1">
      <alignment horizontal="center"/>
    </xf>
    <xf numFmtId="0" fontId="24" fillId="0" borderId="4" xfId="0" applyFont="1" applyBorder="1"/>
    <xf numFmtId="0" fontId="34" fillId="22" borderId="1" xfId="0" applyFont="1" applyFill="1" applyBorder="1"/>
    <xf numFmtId="0" fontId="34" fillId="22" borderId="3" xfId="0" applyFont="1" applyFill="1" applyBorder="1" applyAlignment="1">
      <alignment horizontal="center"/>
    </xf>
    <xf numFmtId="165" fontId="34" fillId="22" borderId="3" xfId="0" applyNumberFormat="1" applyFont="1" applyFill="1" applyBorder="1" applyAlignment="1">
      <alignment horizontal="center"/>
    </xf>
    <xf numFmtId="0" fontId="34" fillId="22" borderId="4" xfId="0" applyFont="1" applyFill="1" applyBorder="1"/>
    <xf numFmtId="0" fontId="21" fillId="16" borderId="1" xfId="0" applyFont="1" applyFill="1" applyBorder="1" applyAlignment="1">
      <alignment horizontal="center" vertical="center" wrapText="1"/>
    </xf>
    <xf numFmtId="0" fontId="21" fillId="16" borderId="3" xfId="0" applyFont="1" applyFill="1" applyBorder="1" applyAlignment="1">
      <alignment horizontal="center" vertical="center" wrapText="1"/>
    </xf>
    <xf numFmtId="0" fontId="21" fillId="16" borderId="4" xfId="0" applyFont="1" applyFill="1" applyBorder="1" applyAlignment="1">
      <alignment horizontal="center" vertical="center" wrapText="1"/>
    </xf>
    <xf numFmtId="0" fontId="34" fillId="22" borderId="1" xfId="0" applyFont="1" applyFill="1" applyBorder="1" applyAlignment="1">
      <alignment horizontal="left" vertical="center"/>
    </xf>
    <xf numFmtId="0" fontId="36" fillId="15" borderId="3" xfId="0" applyFont="1" applyFill="1" applyBorder="1" applyAlignment="1">
      <alignment horizontal="center" vertical="center"/>
    </xf>
    <xf numFmtId="0" fontId="37" fillId="14" borderId="3" xfId="0" applyFont="1" applyFill="1" applyBorder="1" applyAlignment="1">
      <alignment horizontal="center" vertical="center"/>
    </xf>
    <xf numFmtId="0" fontId="37" fillId="13" borderId="3" xfId="0" applyFont="1" applyFill="1" applyBorder="1" applyAlignment="1">
      <alignment horizontal="center" vertical="center"/>
    </xf>
    <xf numFmtId="0" fontId="37" fillId="13" borderId="4" xfId="0" applyFont="1" applyFill="1" applyBorder="1" applyAlignment="1">
      <alignment horizontal="center" vertical="center"/>
    </xf>
    <xf numFmtId="0" fontId="36" fillId="23" borderId="3" xfId="0" applyFont="1" applyFill="1" applyBorder="1" applyAlignment="1">
      <alignment horizontal="center" vertical="center"/>
    </xf>
    <xf numFmtId="0" fontId="37" fillId="14" borderId="4" xfId="0" applyFont="1" applyFill="1" applyBorder="1" applyAlignment="1">
      <alignment horizontal="center" vertical="center"/>
    </xf>
    <xf numFmtId="0" fontId="36" fillId="15" borderId="4" xfId="0" applyFont="1" applyFill="1" applyBorder="1" applyAlignment="1">
      <alignment horizontal="center" vertical="center"/>
    </xf>
    <xf numFmtId="0" fontId="33" fillId="16" borderId="1" xfId="0" applyFont="1" applyFill="1" applyBorder="1"/>
    <xf numFmtId="0" fontId="33" fillId="16" borderId="4" xfId="0" applyFont="1" applyFill="1" applyBorder="1" applyAlignment="1">
      <alignment horizontal="center"/>
    </xf>
    <xf numFmtId="0" fontId="27" fillId="13" borderId="1" xfId="0" applyFont="1" applyFill="1" applyBorder="1"/>
    <xf numFmtId="0" fontId="24" fillId="0" borderId="4" xfId="0" applyFont="1" applyBorder="1" applyAlignment="1">
      <alignment horizontal="center"/>
    </xf>
    <xf numFmtId="0" fontId="27" fillId="14" borderId="1" xfId="0" applyFont="1" applyFill="1" applyBorder="1"/>
    <xf numFmtId="0" fontId="24" fillId="15" borderId="1" xfId="0" applyFont="1" applyFill="1" applyBorder="1"/>
    <xf numFmtId="0" fontId="34" fillId="22" borderId="4" xfId="0" applyFont="1" applyFill="1" applyBorder="1" applyAlignment="1">
      <alignment horizontal="center"/>
    </xf>
    <xf numFmtId="0" fontId="33" fillId="16" borderId="3" xfId="0" applyFont="1" applyFill="1" applyBorder="1" applyAlignment="1">
      <alignment horizontal="center"/>
    </xf>
    <xf numFmtId="0" fontId="34" fillId="0" borderId="1" xfId="0" applyFont="1" applyBorder="1"/>
    <xf numFmtId="166" fontId="34" fillId="0" borderId="4" xfId="0" applyNumberFormat="1" applyFont="1" applyBorder="1"/>
    <xf numFmtId="0" fontId="33" fillId="13" borderId="3" xfId="0" applyFont="1" applyFill="1" applyBorder="1"/>
    <xf numFmtId="0" fontId="33" fillId="13" borderId="4" xfId="0" applyFont="1" applyFill="1" applyBorder="1"/>
    <xf numFmtId="0" fontId="24" fillId="0" borderId="3" xfId="0" applyFont="1" applyBorder="1"/>
    <xf numFmtId="0" fontId="33" fillId="13" borderId="1" xfId="0" applyFont="1" applyFill="1" applyBorder="1"/>
    <xf numFmtId="0" fontId="33" fillId="13" borderId="3" xfId="0" applyFont="1" applyFill="1" applyBorder="1"/>
  </cellXfs>
  <cellStyles count="1">
    <cellStyle name="Normal" xfId="0" builtinId="0"/>
  </cellStyles>
  <dxfs count="22">
    <dxf>
      <font>
        <b/>
        <i val="0"/>
        <color rgb="FFFFFFFF"/>
      </font>
      <fill>
        <patternFill patternType="solid">
          <fgColor indexed="64"/>
          <bgColor rgb="FF70AD47"/>
        </patternFill>
      </fill>
    </dxf>
    <dxf>
      <font>
        <b/>
        <i val="0"/>
        <color rgb="FF000000"/>
      </font>
      <fill>
        <patternFill patternType="solid">
          <fgColor indexed="64"/>
          <bgColor rgb="FFFFC000"/>
        </patternFill>
      </fill>
    </dxf>
    <dxf>
      <font>
        <b/>
        <i val="0"/>
        <color rgb="FFFFFFFF"/>
      </font>
      <fill>
        <patternFill patternType="solid">
          <fgColor indexed="64"/>
          <bgColor rgb="FFED7D31"/>
        </patternFill>
      </fill>
    </dxf>
    <dxf>
      <font>
        <b/>
        <i val="0"/>
        <color rgb="FFFFFFFF"/>
      </font>
      <fill>
        <patternFill patternType="solid">
          <fgColor indexed="64"/>
          <bgColor rgb="FFC00000"/>
        </patternFill>
      </fill>
    </dxf>
    <dxf>
      <font>
        <color rgb="FF000000"/>
      </font>
      <fill>
        <patternFill patternType="solid">
          <fgColor indexed="64"/>
          <bgColor rgb="FFFFD966"/>
        </patternFill>
      </fill>
    </dxf>
    <dxf>
      <font>
        <color rgb="FFFFFFFF"/>
      </font>
      <fill>
        <patternFill patternType="solid">
          <fgColor indexed="64"/>
          <bgColor rgb="FFED7D31"/>
        </patternFill>
      </fill>
    </dxf>
    <dxf>
      <font>
        <color rgb="FFFFFFFF"/>
      </font>
      <fill>
        <patternFill patternType="solid">
          <fgColor indexed="64"/>
          <bgColor rgb="FFC00000"/>
        </patternFill>
      </fill>
    </dxf>
    <dxf>
      <font>
        <b/>
        <sz val="9"/>
        <color rgb="FFFFFFFF"/>
        <name val="Arial"/>
        <charset val="1"/>
      </font>
      <fill>
        <patternFill>
          <bgColor rgb="FF7030A0"/>
        </patternFill>
      </fill>
    </dxf>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FFFFFF"/>
        <name val="Arial"/>
        <charset val="1"/>
      </font>
      <fill>
        <patternFill>
          <bgColor rgb="FFED7D31"/>
        </patternFill>
      </fill>
    </dxf>
    <dxf>
      <font>
        <b/>
        <sz val="9"/>
        <color rgb="FFFFFFFF"/>
        <name val="Arial"/>
        <charset val="1"/>
      </font>
      <fill>
        <patternFill>
          <bgColor rgb="FFC00000"/>
        </patternFill>
      </fill>
    </dxf>
    <dxf>
      <fill>
        <patternFill>
          <bgColor rgb="FFEAD9F7"/>
        </patternFill>
      </fill>
    </dxf>
    <dxf>
      <fill>
        <patternFill>
          <bgColor rgb="FFE2EFDA"/>
        </patternFill>
      </fill>
    </dxf>
    <dxf>
      <fill>
        <patternFill>
          <bgColor rgb="FFFFF2CC"/>
        </patternFill>
      </fill>
    </dxf>
    <dxf>
      <fill>
        <patternFill>
          <bgColor rgb="FFFCE4D6"/>
        </patternFill>
      </fill>
    </dxf>
    <dxf>
      <fill>
        <patternFill>
          <bgColor rgb="FFFFCCCC"/>
        </patternFill>
      </fill>
    </dxf>
    <dxf>
      <fill>
        <patternFill>
          <bgColor rgb="FFEAD9F7"/>
        </patternFill>
      </fill>
    </dxf>
    <dxf>
      <fill>
        <patternFill>
          <bgColor rgb="FFE2EFDA"/>
        </patternFill>
      </fill>
    </dxf>
    <dxf>
      <fill>
        <patternFill>
          <bgColor rgb="FFFFF2CC"/>
        </patternFill>
      </fill>
    </dxf>
    <dxf>
      <fill>
        <patternFill>
          <bgColor rgb="FFFCE4D6"/>
        </patternFill>
      </fill>
    </dxf>
    <dxf>
      <fill>
        <patternFill>
          <bgColor rgb="FFFFCCCC"/>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F2F2F2"/>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EAD9F7"/>
      <rgbColor rgb="FFE2EFDA"/>
      <rgbColor rgb="FFFCE4D6"/>
      <rgbColor rgb="FF99CCFF"/>
      <rgbColor rgb="FFFF99CC"/>
      <rgbColor rgb="FFCC99FF"/>
      <rgbColor rgb="FFFFCCCC"/>
      <rgbColor rgb="FF2E75B6"/>
      <rgbColor rgb="FF33CCCC"/>
      <rgbColor rgb="FF92D050"/>
      <rgbColor rgb="FFFFD966"/>
      <rgbColor rgb="FFFF9900"/>
      <rgbColor rgb="FFED7D31"/>
      <rgbColor rgb="FF595959"/>
      <rgbColor rgb="FF70AD47"/>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Brechas por componente y nivel</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s-PA"/>
        </a:p>
      </c:txPr>
    </c:title>
    <c:autoTitleDeleted val="0"/>
    <c:plotArea>
      <c:layout/>
      <c:barChart>
        <c:barDir val="bar"/>
        <c:grouping val="stacked"/>
        <c:varyColors val="0"/>
        <c:ser>
          <c:idx val="0"/>
          <c:order val="0"/>
          <c:tx>
            <c:strRef>
              <c:f>Dashboard!$C$8</c:f>
              <c:strCache>
                <c:ptCount val="1"/>
                <c:pt idx="0">
                  <c:v>CRÍTICO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Dashboard!$B$9:$B$16</c:f>
              <c:strCache>
                <c:ptCount val="8"/>
                <c:pt idx="0">
                  <c:v>Gobierno Corporativo</c:v>
                </c:pt>
                <c:pt idx="1">
                  <c:v>Políticas y Procedimientos</c:v>
                </c:pt>
                <c:pt idx="2">
                  <c:v>Programa Anual de Cumplimiento</c:v>
                </c:pt>
                <c:pt idx="3">
                  <c:v>Monitoreo Transaccional</c:v>
                </c:pt>
                <c:pt idx="4">
                  <c:v>Debida Diligencia</c:v>
                </c:pt>
                <c:pt idx="5">
                  <c:v>Evaluación de Riesgo AML</c:v>
                </c:pt>
                <c:pt idx="6">
                  <c:v>Reportes Regulatorios</c:v>
                </c:pt>
                <c:pt idx="7">
                  <c:v>Conservación de Documentos</c:v>
                </c:pt>
              </c:strCache>
            </c:strRef>
          </c:cat>
          <c:val>
            <c:numRef>
              <c:f>Dashboard!$C$9:$C$16</c:f>
              <c:numCache>
                <c:formatCode>General</c:formatCode>
                <c:ptCount val="8"/>
                <c:pt idx="0">
                  <c:v>1</c:v>
                </c:pt>
                <c:pt idx="1">
                  <c:v>0</c:v>
                </c:pt>
                <c:pt idx="2">
                  <c:v>0</c:v>
                </c:pt>
                <c:pt idx="3">
                  <c:v>1</c:v>
                </c:pt>
                <c:pt idx="4">
                  <c:v>3</c:v>
                </c:pt>
                <c:pt idx="5">
                  <c:v>1</c:v>
                </c:pt>
                <c:pt idx="6">
                  <c:v>2</c:v>
                </c:pt>
                <c:pt idx="7">
                  <c:v>0</c:v>
                </c:pt>
              </c:numCache>
            </c:numRef>
          </c:val>
          <c:extLst>
            <c:ext xmlns:c16="http://schemas.microsoft.com/office/drawing/2014/chart" uri="{C3380CC4-5D6E-409C-BE32-E72D297353CC}">
              <c16:uniqueId val="{00000000-833D-4733-AAB4-EE0AF86A08D3}"/>
            </c:ext>
          </c:extLst>
        </c:ser>
        <c:ser>
          <c:idx val="1"/>
          <c:order val="1"/>
          <c:tx>
            <c:strRef>
              <c:f>Dashboard!$D$8</c:f>
              <c:strCache>
                <c:ptCount val="1"/>
                <c:pt idx="0">
                  <c:v>MEDIO-ALTO</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Dashboard!$B$9:$B$16</c:f>
              <c:strCache>
                <c:ptCount val="8"/>
                <c:pt idx="0">
                  <c:v>Gobierno Corporativo</c:v>
                </c:pt>
                <c:pt idx="1">
                  <c:v>Políticas y Procedimientos</c:v>
                </c:pt>
                <c:pt idx="2">
                  <c:v>Programa Anual de Cumplimiento</c:v>
                </c:pt>
                <c:pt idx="3">
                  <c:v>Monitoreo Transaccional</c:v>
                </c:pt>
                <c:pt idx="4">
                  <c:v>Debida Diligencia</c:v>
                </c:pt>
                <c:pt idx="5">
                  <c:v>Evaluación de Riesgo AML</c:v>
                </c:pt>
                <c:pt idx="6">
                  <c:v>Reportes Regulatorios</c:v>
                </c:pt>
                <c:pt idx="7">
                  <c:v>Conservación de Documentos</c:v>
                </c:pt>
              </c:strCache>
            </c:strRef>
          </c:cat>
          <c:val>
            <c:numRef>
              <c:f>Dashboard!$D$9:$D$16</c:f>
              <c:numCache>
                <c:formatCode>General</c:formatCode>
                <c:ptCount val="8"/>
                <c:pt idx="0">
                  <c:v>5</c:v>
                </c:pt>
                <c:pt idx="1">
                  <c:v>2</c:v>
                </c:pt>
                <c:pt idx="2">
                  <c:v>2</c:v>
                </c:pt>
                <c:pt idx="3">
                  <c:v>5</c:v>
                </c:pt>
                <c:pt idx="4">
                  <c:v>4</c:v>
                </c:pt>
                <c:pt idx="5">
                  <c:v>1</c:v>
                </c:pt>
                <c:pt idx="6">
                  <c:v>2</c:v>
                </c:pt>
                <c:pt idx="7">
                  <c:v>1</c:v>
                </c:pt>
              </c:numCache>
            </c:numRef>
          </c:val>
          <c:extLst>
            <c:ext xmlns:c16="http://schemas.microsoft.com/office/drawing/2014/chart" uri="{C3380CC4-5D6E-409C-BE32-E72D297353CC}">
              <c16:uniqueId val="{00000001-833D-4733-AAB4-EE0AF86A08D3}"/>
            </c:ext>
          </c:extLst>
        </c:ser>
        <c:ser>
          <c:idx val="2"/>
          <c:order val="2"/>
          <c:tx>
            <c:strRef>
              <c:f>Dashboard!$E$8</c:f>
              <c:strCache>
                <c:ptCount val="1"/>
                <c:pt idx="0">
                  <c:v>MEDIO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Dashboard!$B$9:$B$16</c:f>
              <c:strCache>
                <c:ptCount val="8"/>
                <c:pt idx="0">
                  <c:v>Gobierno Corporativo</c:v>
                </c:pt>
                <c:pt idx="1">
                  <c:v>Políticas y Procedimientos</c:v>
                </c:pt>
                <c:pt idx="2">
                  <c:v>Programa Anual de Cumplimiento</c:v>
                </c:pt>
                <c:pt idx="3">
                  <c:v>Monitoreo Transaccional</c:v>
                </c:pt>
                <c:pt idx="4">
                  <c:v>Debida Diligencia</c:v>
                </c:pt>
                <c:pt idx="5">
                  <c:v>Evaluación de Riesgo AML</c:v>
                </c:pt>
                <c:pt idx="6">
                  <c:v>Reportes Regulatorios</c:v>
                </c:pt>
                <c:pt idx="7">
                  <c:v>Conservación de Documentos</c:v>
                </c:pt>
              </c:strCache>
            </c:strRef>
          </c:cat>
          <c:val>
            <c:numRef>
              <c:f>Dashboard!$E$9:$E$16</c:f>
              <c:numCache>
                <c:formatCode>General</c:formatCode>
                <c:ptCount val="8"/>
                <c:pt idx="0">
                  <c:v>5</c:v>
                </c:pt>
                <c:pt idx="1">
                  <c:v>7</c:v>
                </c:pt>
                <c:pt idx="2">
                  <c:v>4</c:v>
                </c:pt>
                <c:pt idx="3">
                  <c:v>1</c:v>
                </c:pt>
                <c:pt idx="4">
                  <c:v>1</c:v>
                </c:pt>
                <c:pt idx="5">
                  <c:v>3</c:v>
                </c:pt>
                <c:pt idx="6">
                  <c:v>2</c:v>
                </c:pt>
                <c:pt idx="7">
                  <c:v>4</c:v>
                </c:pt>
              </c:numCache>
            </c:numRef>
          </c:val>
          <c:extLst>
            <c:ext xmlns:c16="http://schemas.microsoft.com/office/drawing/2014/chart" uri="{C3380CC4-5D6E-409C-BE32-E72D297353CC}">
              <c16:uniqueId val="{00000002-833D-4733-AAB4-EE0AF86A08D3}"/>
            </c:ext>
          </c:extLst>
        </c:ser>
        <c:ser>
          <c:idx val="3"/>
          <c:order val="3"/>
          <c:tx>
            <c:strRef>
              <c:f>Dashboard!$F$8</c:f>
              <c:strCache>
                <c:ptCount val="1"/>
                <c:pt idx="0">
                  <c:v>BAJO</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Dashboard!$B$9:$B$16</c:f>
              <c:strCache>
                <c:ptCount val="8"/>
                <c:pt idx="0">
                  <c:v>Gobierno Corporativo</c:v>
                </c:pt>
                <c:pt idx="1">
                  <c:v>Políticas y Procedimientos</c:v>
                </c:pt>
                <c:pt idx="2">
                  <c:v>Programa Anual de Cumplimiento</c:v>
                </c:pt>
                <c:pt idx="3">
                  <c:v>Monitoreo Transaccional</c:v>
                </c:pt>
                <c:pt idx="4">
                  <c:v>Debida Diligencia</c:v>
                </c:pt>
                <c:pt idx="5">
                  <c:v>Evaluación de Riesgo AML</c:v>
                </c:pt>
                <c:pt idx="6">
                  <c:v>Reportes Regulatorios</c:v>
                </c:pt>
                <c:pt idx="7">
                  <c:v>Conservación de Documentos</c:v>
                </c:pt>
              </c:strCache>
            </c:strRef>
          </c:cat>
          <c:val>
            <c:numRef>
              <c:f>Dashboard!$F$9:$F$16</c:f>
              <c:numCache>
                <c:formatCode>General</c:formatCode>
                <c:ptCount val="8"/>
                <c:pt idx="0">
                  <c:v>0</c:v>
                </c:pt>
                <c:pt idx="1">
                  <c:v>1</c:v>
                </c:pt>
                <c:pt idx="2">
                  <c:v>0</c:v>
                </c:pt>
                <c:pt idx="3">
                  <c:v>1</c:v>
                </c:pt>
                <c:pt idx="4">
                  <c:v>0</c:v>
                </c:pt>
                <c:pt idx="5">
                  <c:v>0</c:v>
                </c:pt>
                <c:pt idx="6">
                  <c:v>0</c:v>
                </c:pt>
                <c:pt idx="7">
                  <c:v>0</c:v>
                </c:pt>
              </c:numCache>
            </c:numRef>
          </c:val>
          <c:extLst>
            <c:ext xmlns:c16="http://schemas.microsoft.com/office/drawing/2014/chart" uri="{C3380CC4-5D6E-409C-BE32-E72D297353CC}">
              <c16:uniqueId val="{00000003-833D-4733-AAB4-EE0AF86A08D3}"/>
            </c:ext>
          </c:extLst>
        </c:ser>
        <c:dLbls>
          <c:showLegendKey val="0"/>
          <c:showVal val="0"/>
          <c:showCatName val="0"/>
          <c:showSerName val="0"/>
          <c:showPercent val="0"/>
          <c:showBubbleSize val="0"/>
        </c:dLbls>
        <c:gapWidth val="150"/>
        <c:overlap val="100"/>
        <c:axId val="1395554336"/>
        <c:axId val="1210770671"/>
      </c:barChart>
      <c:catAx>
        <c:axId val="13955543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A"/>
          </a:p>
        </c:txPr>
        <c:crossAx val="1210770671"/>
        <c:crosses val="autoZero"/>
        <c:auto val="1"/>
        <c:lblAlgn val="ctr"/>
        <c:lblOffset val="100"/>
        <c:noMultiLvlLbl val="0"/>
      </c:catAx>
      <c:valAx>
        <c:axId val="121077067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A"/>
          </a:p>
        </c:txPr>
        <c:crossAx val="1395554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Brechas por nivel de riesgo</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s-PA"/>
        </a:p>
      </c:txPr>
    </c:title>
    <c:autoTitleDeleted val="0"/>
    <c:plotArea>
      <c:layout/>
      <c:doughnutChart>
        <c:varyColors val="1"/>
        <c:ser>
          <c:idx val="0"/>
          <c:order val="0"/>
          <c:tx>
            <c:strRef>
              <c:f>Dashboard!$C$20</c:f>
              <c:strCache>
                <c:ptCount val="1"/>
                <c:pt idx="0">
                  <c:v>Brechas</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1ECE-4D78-885C-5F2025BDC20F}"/>
              </c:ext>
            </c:extLst>
          </c:dPt>
          <c:dPt>
            <c:idx val="1"/>
            <c:bubble3D val="0"/>
            <c:spPr>
              <a:solidFill>
                <a:srgbClr val="ED7D31"/>
              </a:solidFill>
              <a:ln w="19050">
                <a:solidFill>
                  <a:schemeClr val="lt1"/>
                </a:solidFill>
              </a:ln>
              <a:effectLst/>
            </c:spPr>
            <c:extLst>
              <c:ext xmlns:c16="http://schemas.microsoft.com/office/drawing/2014/chart" uri="{C3380CC4-5D6E-409C-BE32-E72D297353CC}">
                <c16:uniqueId val="{00000002-1ECE-4D78-885C-5F2025BDC20F}"/>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3-1ECE-4D78-885C-5F2025BDC20F}"/>
              </c:ext>
            </c:extLst>
          </c:dPt>
          <c:dPt>
            <c:idx val="3"/>
            <c:bubble3D val="0"/>
            <c:spPr>
              <a:solidFill>
                <a:srgbClr val="70AD47"/>
              </a:solidFill>
              <a:ln w="19050">
                <a:solidFill>
                  <a:schemeClr val="lt1"/>
                </a:solidFill>
              </a:ln>
              <a:effectLst/>
            </c:spPr>
            <c:extLst>
              <c:ext xmlns:c16="http://schemas.microsoft.com/office/drawing/2014/chart" uri="{C3380CC4-5D6E-409C-BE32-E72D297353CC}">
                <c16:uniqueId val="{00000004-1ECE-4D78-885C-5F2025BDC2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Dashboard!$B$21:$B$24</c:f>
              <c:strCache>
                <c:ptCount val="4"/>
                <c:pt idx="0">
                  <c:v>CRÍTICO</c:v>
                </c:pt>
                <c:pt idx="1">
                  <c:v>MEDIO-ALTO</c:v>
                </c:pt>
                <c:pt idx="2">
                  <c:v>MEDIO</c:v>
                </c:pt>
                <c:pt idx="3">
                  <c:v>BAJO</c:v>
                </c:pt>
              </c:strCache>
            </c:strRef>
          </c:cat>
          <c:val>
            <c:numRef>
              <c:f>Dashboard!$C$21:$C$24</c:f>
              <c:numCache>
                <c:formatCode>General</c:formatCode>
                <c:ptCount val="4"/>
                <c:pt idx="0">
                  <c:v>8</c:v>
                </c:pt>
                <c:pt idx="1">
                  <c:v>22</c:v>
                </c:pt>
                <c:pt idx="2">
                  <c:v>27</c:v>
                </c:pt>
                <c:pt idx="3">
                  <c:v>2</c:v>
                </c:pt>
              </c:numCache>
            </c:numRef>
          </c:val>
          <c:extLst>
            <c:ext xmlns:c16="http://schemas.microsoft.com/office/drawing/2014/chart" uri="{C3380CC4-5D6E-409C-BE32-E72D297353CC}">
              <c16:uniqueId val="{00000000-1ECE-4D78-885C-5F2025BDC2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19050</xdr:colOff>
      <xdr:row>22</xdr:row>
      <xdr:rowOff>38099</xdr:rowOff>
    </xdr:from>
    <xdr:to>
      <xdr:col>17</xdr:col>
      <xdr:colOff>31750</xdr:colOff>
      <xdr:row>43</xdr:row>
      <xdr:rowOff>107949</xdr:rowOff>
    </xdr:to>
    <xdr:graphicFrame macro="">
      <xdr:nvGraphicFramePr>
        <xdr:cNvPr id="2" name="Gráfico 1">
          <a:extLst>
            <a:ext uri="{FF2B5EF4-FFF2-40B4-BE49-F238E27FC236}">
              <a16:creationId xmlns:a16="http://schemas.microsoft.com/office/drawing/2014/main" id="{31F06488-A34D-968C-B126-B401DBF9E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19</xdr:row>
      <xdr:rowOff>25400</xdr:rowOff>
    </xdr:from>
    <xdr:to>
      <xdr:col>10</xdr:col>
      <xdr:colOff>19050</xdr:colOff>
      <xdr:row>33</xdr:row>
      <xdr:rowOff>73025</xdr:rowOff>
    </xdr:to>
    <xdr:graphicFrame macro="">
      <xdr:nvGraphicFramePr>
        <xdr:cNvPr id="3" name="Gráfico 2">
          <a:extLst>
            <a:ext uri="{FF2B5EF4-FFF2-40B4-BE49-F238E27FC236}">
              <a16:creationId xmlns:a16="http://schemas.microsoft.com/office/drawing/2014/main" id="{78DC6DC2-4E1A-ED0A-6E61-7A909F97E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1105-EFE2-4B45-A325-70E2651E9DA1}">
  <dimension ref="A1:Q46"/>
  <sheetViews>
    <sheetView showGridLines="0" workbookViewId="0">
      <pane ySplit="2" topLeftCell="A3" activePane="bottomLeft" state="frozen"/>
      <selection pane="bottomLeft" activeCell="C17" sqref="C17"/>
    </sheetView>
  </sheetViews>
  <sheetFormatPr baseColWidth="10" defaultRowHeight="14.5" x14ac:dyDescent="0.35"/>
  <cols>
    <col min="1" max="1" width="2.36328125" style="55" customWidth="1"/>
    <col min="2" max="2" width="42.54296875" style="55" customWidth="1"/>
    <col min="3" max="7" width="13" style="55" customWidth="1"/>
    <col min="8" max="9" width="14.1796875" style="55" customWidth="1"/>
    <col min="10" max="10" width="35.453125" style="55" customWidth="1"/>
    <col min="11" max="11" width="3.54296875" style="55" customWidth="1"/>
    <col min="12" max="12" width="18.90625" style="55" customWidth="1"/>
    <col min="13" max="17" width="13" style="55" customWidth="1"/>
  </cols>
  <sheetData>
    <row r="1" spans="2:17" ht="30" customHeight="1" x14ac:dyDescent="0.35">
      <c r="B1" s="58" t="s">
        <v>574</v>
      </c>
      <c r="C1" s="57"/>
      <c r="D1" s="57"/>
      <c r="E1" s="57"/>
      <c r="F1" s="57"/>
      <c r="G1" s="57"/>
      <c r="H1" s="57"/>
      <c r="I1" s="57"/>
      <c r="J1" s="57"/>
      <c r="K1" s="57"/>
      <c r="L1" s="57"/>
      <c r="M1" s="57"/>
      <c r="N1" s="57"/>
      <c r="O1" s="57"/>
      <c r="P1" s="57"/>
      <c r="Q1" s="57"/>
    </row>
    <row r="2" spans="2:17" x14ac:dyDescent="0.35">
      <c r="B2" s="59" t="s">
        <v>575</v>
      </c>
      <c r="C2" s="56"/>
      <c r="D2" s="56"/>
      <c r="E2" s="56"/>
      <c r="F2" s="56"/>
      <c r="G2" s="56"/>
      <c r="H2" s="56"/>
      <c r="I2" s="56"/>
      <c r="J2" s="56"/>
      <c r="K2" s="56"/>
      <c r="L2" s="56"/>
      <c r="M2" s="56"/>
      <c r="N2" s="56"/>
      <c r="O2" s="56"/>
      <c r="P2" s="56"/>
      <c r="Q2" s="56"/>
    </row>
    <row r="4" spans="2:17" ht="20" customHeight="1" x14ac:dyDescent="0.35">
      <c r="B4" s="60" t="s">
        <v>576</v>
      </c>
      <c r="C4" s="63" t="s">
        <v>36</v>
      </c>
      <c r="D4" s="62"/>
      <c r="E4" s="66" t="s">
        <v>34</v>
      </c>
      <c r="F4" s="65"/>
      <c r="G4" s="69" t="s">
        <v>32</v>
      </c>
      <c r="H4" s="68"/>
      <c r="I4" s="72" t="s">
        <v>45</v>
      </c>
      <c r="J4" s="71"/>
      <c r="L4" s="75" t="s">
        <v>577</v>
      </c>
      <c r="M4" s="74"/>
      <c r="N4" s="78" t="s">
        <v>578</v>
      </c>
      <c r="O4" s="77"/>
      <c r="P4" s="81" t="s">
        <v>579</v>
      </c>
      <c r="Q4" s="80"/>
    </row>
    <row r="5" spans="2:17" ht="40" customHeight="1" x14ac:dyDescent="0.35">
      <c r="B5" s="61">
        <f>COUNTIF(Riesgos!$B$4:$B$89,"Brecha")</f>
        <v>59</v>
      </c>
      <c r="C5" s="64">
        <f>COUNTIF(Riesgos!$J$4:$J$89,"CRÍTICO")</f>
        <v>8</v>
      </c>
      <c r="D5" s="62"/>
      <c r="E5" s="67">
        <f>COUNTIF(Riesgos!$J$4:$J$89,"MEDIO-ALTO")</f>
        <v>22</v>
      </c>
      <c r="F5" s="65"/>
      <c r="G5" s="70">
        <f>COUNTIF(Riesgos!$J$4:$J$89,"MEDIO")</f>
        <v>27</v>
      </c>
      <c r="H5" s="68"/>
      <c r="I5" s="73">
        <f>COUNTIF(Riesgos!$J$4:$J$89,"BAJO")</f>
        <v>2</v>
      </c>
      <c r="J5" s="71"/>
      <c r="L5" s="76">
        <f>COUNTIF(Riesgos!$B$4:$B$89,"Oportunidad de Mejora")</f>
        <v>27</v>
      </c>
      <c r="M5" s="74"/>
      <c r="N5" s="79">
        <f>COUNTA('Plan de Acción'!$A$4:$A$34)</f>
        <v>31</v>
      </c>
      <c r="O5" s="77"/>
      <c r="P5" s="82">
        <f>COUNTA(Riesgos!$A$4:$A$89)</f>
        <v>86</v>
      </c>
      <c r="Q5" s="80"/>
    </row>
    <row r="7" spans="2:17" x14ac:dyDescent="0.35">
      <c r="B7" s="83" t="s">
        <v>580</v>
      </c>
      <c r="C7" s="83"/>
      <c r="D7" s="83"/>
      <c r="E7" s="83"/>
      <c r="F7" s="83"/>
      <c r="G7" s="83"/>
      <c r="H7" s="83"/>
      <c r="I7" s="83"/>
      <c r="J7" s="83"/>
      <c r="L7" s="83" t="s">
        <v>581</v>
      </c>
      <c r="M7" s="83"/>
      <c r="N7" s="83"/>
      <c r="O7" s="83"/>
      <c r="P7" s="83"/>
      <c r="Q7" s="83"/>
    </row>
    <row r="8" spans="2:17" ht="32" customHeight="1" x14ac:dyDescent="0.35">
      <c r="B8" s="86" t="s">
        <v>432</v>
      </c>
      <c r="C8" s="87" t="s">
        <v>36</v>
      </c>
      <c r="D8" s="88" t="s">
        <v>34</v>
      </c>
      <c r="E8" s="89" t="s">
        <v>32</v>
      </c>
      <c r="F8" s="90" t="s">
        <v>45</v>
      </c>
      <c r="G8" s="91" t="s">
        <v>433</v>
      </c>
      <c r="H8" s="91" t="s">
        <v>582</v>
      </c>
      <c r="I8" s="91" t="s">
        <v>583</v>
      </c>
      <c r="J8" s="92" t="s">
        <v>584</v>
      </c>
      <c r="L8" s="101" t="s">
        <v>585</v>
      </c>
      <c r="M8" s="102" t="s">
        <v>402</v>
      </c>
      <c r="N8" s="102" t="s">
        <v>403</v>
      </c>
      <c r="O8" s="102" t="s">
        <v>404</v>
      </c>
      <c r="P8" s="102" t="s">
        <v>405</v>
      </c>
      <c r="Q8" s="103" t="s">
        <v>406</v>
      </c>
    </row>
    <row r="9" spans="2:17" ht="24" customHeight="1" x14ac:dyDescent="0.35">
      <c r="B9" s="93" t="s">
        <v>94</v>
      </c>
      <c r="C9" s="94">
        <f>COUNTIFS(Riesgos!$K$4:$K$89,$B9,Riesgos!$J$4:$J$89,"CRÍTICO")</f>
        <v>1</v>
      </c>
      <c r="D9" s="94">
        <f>COUNTIFS(Riesgos!$K$4:$K$89,$B9,Riesgos!$J$4:$J$89,"MEDIO-ALTO")</f>
        <v>5</v>
      </c>
      <c r="E9" s="94">
        <f>COUNTIFS(Riesgos!$K$4:$K$89,$B9,Riesgos!$J$4:$J$89,"MEDIO")</f>
        <v>5</v>
      </c>
      <c r="F9" s="94">
        <f>COUNTIFS(Riesgos!$K$4:$K$89,$B9,Riesgos!$J$4:$J$89,"BAJO")</f>
        <v>0</v>
      </c>
      <c r="G9" s="94">
        <f>SUM(C9:F9)</f>
        <v>11</v>
      </c>
      <c r="H9" s="95">
        <f>IFERROR(AVERAGEIFS(Riesgos!$M$4:$M$89,Riesgos!$K$4:$K$89,$B9),0)</f>
        <v>8.545454545454545</v>
      </c>
      <c r="I9" s="94">
        <f>_xlfn.MAXIFS(Riesgos!$M$4:$M$89,Riesgos!$K$4:$K$89,$B9)</f>
        <v>16</v>
      </c>
      <c r="J9" s="96" t="str">
        <f>IF(C9&gt;=2,"Nivel 1 – CRÍTICO (No Cumple)",IF(OR(C9=1,D9&gt;=3),"Nivel 2 – ALTO (Brecha Mayor)",IF(D9&gt;=1,"Nivel 3 – MEDIO (Brecha Parcial)","Nivel 4 – BAJO (Cumple)")))</f>
        <v>Nivel 2 – ALTO (Brecha Mayor)</v>
      </c>
      <c r="L9" s="104" t="s">
        <v>586</v>
      </c>
      <c r="M9" s="105">
        <f>COUNTIFS(Riesgos!$F$4:$F$89,5,Riesgos!$H$4:$H$89,1,Riesgos!$B$4:$B$89,"Brecha")</f>
        <v>0</v>
      </c>
      <c r="N9" s="106">
        <f>COUNTIFS(Riesgos!$F$4:$F$89,5,Riesgos!$H$4:$H$89,2,Riesgos!$B$4:$B$89,"Brecha")</f>
        <v>0</v>
      </c>
      <c r="O9" s="107">
        <f>COUNTIFS(Riesgos!$F$4:$F$89,5,Riesgos!$H$4:$H$89,3,Riesgos!$B$4:$B$89,"Brecha")</f>
        <v>1</v>
      </c>
      <c r="P9" s="107">
        <f>COUNTIFS(Riesgos!$F$4:$F$89,5,Riesgos!$H$4:$H$89,4,Riesgos!$B$4:$B$89,"Brecha")</f>
        <v>1</v>
      </c>
      <c r="Q9" s="108">
        <f>COUNTIFS(Riesgos!$F$4:$F$89,5,Riesgos!$H$4:$H$89,5,Riesgos!$B$4:$B$89,"Brecha")</f>
        <v>0</v>
      </c>
    </row>
    <row r="10" spans="2:17" ht="24" customHeight="1" x14ac:dyDescent="0.35">
      <c r="B10" s="93" t="s">
        <v>143</v>
      </c>
      <c r="C10" s="94">
        <f>COUNTIFS(Riesgos!$K$4:$K$89,$B10,Riesgos!$J$4:$J$89,"CRÍTICO")</f>
        <v>0</v>
      </c>
      <c r="D10" s="94">
        <f>COUNTIFS(Riesgos!$K$4:$K$89,$B10,Riesgos!$J$4:$J$89,"MEDIO-ALTO")</f>
        <v>2</v>
      </c>
      <c r="E10" s="94">
        <f>COUNTIFS(Riesgos!$K$4:$K$89,$B10,Riesgos!$J$4:$J$89,"MEDIO")</f>
        <v>7</v>
      </c>
      <c r="F10" s="94">
        <f>COUNTIFS(Riesgos!$K$4:$K$89,$B10,Riesgos!$J$4:$J$89,"BAJO")</f>
        <v>1</v>
      </c>
      <c r="G10" s="94">
        <f>SUM(C10:F10)</f>
        <v>10</v>
      </c>
      <c r="H10" s="95">
        <f>IFERROR(AVERAGEIFS(Riesgos!$M$4:$M$89,Riesgos!$K$4:$K$89,$B10),0)</f>
        <v>6</v>
      </c>
      <c r="I10" s="94">
        <f>_xlfn.MAXIFS(Riesgos!$M$4:$M$89,Riesgos!$K$4:$K$89,$B10)</f>
        <v>9</v>
      </c>
      <c r="J10" s="96" t="str">
        <f>IF(C10&gt;=2,"Nivel 1 – CRÍTICO (No Cumple)",IF(OR(C10=1,D10&gt;=3),"Nivel 2 – ALTO (Brecha Mayor)",IF(D10&gt;=1,"Nivel 3 – MEDIO (Brecha Parcial)","Nivel 4 – BAJO (Cumple)")))</f>
        <v>Nivel 3 – MEDIO (Brecha Parcial)</v>
      </c>
      <c r="L10" s="104" t="s">
        <v>587</v>
      </c>
      <c r="M10" s="105">
        <f>COUNTIFS(Riesgos!$F$4:$F$89,4,Riesgos!$H$4:$H$89,1,Riesgos!$B$4:$B$89,"Brecha")</f>
        <v>0</v>
      </c>
      <c r="N10" s="106">
        <f>COUNTIFS(Riesgos!$F$4:$F$89,4,Riesgos!$H$4:$H$89,2,Riesgos!$B$4:$B$89,"Brecha")</f>
        <v>0</v>
      </c>
      <c r="O10" s="106">
        <f>COUNTIFS(Riesgos!$F$4:$F$89,4,Riesgos!$H$4:$H$89,3,Riesgos!$B$4:$B$89,"Brecha")</f>
        <v>6</v>
      </c>
      <c r="P10" s="107">
        <f>COUNTIFS(Riesgos!$F$4:$F$89,4,Riesgos!$H$4:$H$89,4,Riesgos!$B$4:$B$89,"Brecha")</f>
        <v>5</v>
      </c>
      <c r="Q10" s="108">
        <f>COUNTIFS(Riesgos!$F$4:$F$89,4,Riesgos!$H$4:$H$89,5,Riesgos!$B$4:$B$89,"Brecha")</f>
        <v>0</v>
      </c>
    </row>
    <row r="11" spans="2:17" ht="24" customHeight="1" x14ac:dyDescent="0.35">
      <c r="B11" s="93" t="s">
        <v>180</v>
      </c>
      <c r="C11" s="94">
        <f>COUNTIFS(Riesgos!$K$4:$K$89,$B11,Riesgos!$J$4:$J$89,"CRÍTICO")</f>
        <v>0</v>
      </c>
      <c r="D11" s="94">
        <f>COUNTIFS(Riesgos!$K$4:$K$89,$B11,Riesgos!$J$4:$J$89,"MEDIO-ALTO")</f>
        <v>2</v>
      </c>
      <c r="E11" s="94">
        <f>COUNTIFS(Riesgos!$K$4:$K$89,$B11,Riesgos!$J$4:$J$89,"MEDIO")</f>
        <v>4</v>
      </c>
      <c r="F11" s="94">
        <f>COUNTIFS(Riesgos!$K$4:$K$89,$B11,Riesgos!$J$4:$J$89,"BAJO")</f>
        <v>0</v>
      </c>
      <c r="G11" s="94">
        <f>SUM(C11:F11)</f>
        <v>6</v>
      </c>
      <c r="H11" s="95">
        <f>IFERROR(AVERAGEIFS(Riesgos!$M$4:$M$89,Riesgos!$K$4:$K$89,$B11),0)</f>
        <v>6.666666666666667</v>
      </c>
      <c r="I11" s="94">
        <f>_xlfn.MAXIFS(Riesgos!$M$4:$M$89,Riesgos!$K$4:$K$89,$B11)</f>
        <v>9</v>
      </c>
      <c r="J11" s="96" t="str">
        <f>IF(C11&gt;=2,"Nivel 1 – CRÍTICO (No Cumple)",IF(OR(C11=1,D11&gt;=3),"Nivel 2 – ALTO (Brecha Mayor)",IF(D11&gt;=1,"Nivel 3 – MEDIO (Brecha Parcial)","Nivel 4 – BAJO (Cumple)")))</f>
        <v>Nivel 3 – MEDIO (Brecha Parcial)</v>
      </c>
      <c r="L11" s="104" t="s">
        <v>588</v>
      </c>
      <c r="M11" s="109">
        <f>COUNTIFS(Riesgos!$F$4:$F$89,3,Riesgos!$H$4:$H$89,1,Riesgos!$B$4:$B$89,"Brecha")</f>
        <v>0</v>
      </c>
      <c r="N11" s="105">
        <f>COUNTIFS(Riesgos!$F$4:$F$89,3,Riesgos!$H$4:$H$89,2,Riesgos!$B$4:$B$89,"Brecha")</f>
        <v>11</v>
      </c>
      <c r="O11" s="106">
        <f>COUNTIFS(Riesgos!$F$4:$F$89,3,Riesgos!$H$4:$H$89,3,Riesgos!$B$4:$B$89,"Brecha")</f>
        <v>14</v>
      </c>
      <c r="P11" s="106">
        <f>COUNTIFS(Riesgos!$F$4:$F$89,3,Riesgos!$H$4:$H$89,4,Riesgos!$B$4:$B$89,"Brecha")</f>
        <v>1</v>
      </c>
      <c r="Q11" s="108">
        <f>COUNTIFS(Riesgos!$F$4:$F$89,3,Riesgos!$H$4:$H$89,5,Riesgos!$B$4:$B$89,"Brecha")</f>
        <v>1</v>
      </c>
    </row>
    <row r="12" spans="2:17" ht="24" customHeight="1" x14ac:dyDescent="0.35">
      <c r="B12" s="93" t="s">
        <v>204</v>
      </c>
      <c r="C12" s="94">
        <f>COUNTIFS(Riesgos!$K$4:$K$89,$B12,Riesgos!$J$4:$J$89,"CRÍTICO")</f>
        <v>1</v>
      </c>
      <c r="D12" s="94">
        <f>COUNTIFS(Riesgos!$K$4:$K$89,$B12,Riesgos!$J$4:$J$89,"MEDIO-ALTO")</f>
        <v>5</v>
      </c>
      <c r="E12" s="94">
        <f>COUNTIFS(Riesgos!$K$4:$K$89,$B12,Riesgos!$J$4:$J$89,"MEDIO")</f>
        <v>1</v>
      </c>
      <c r="F12" s="94">
        <f>COUNTIFS(Riesgos!$K$4:$K$89,$B12,Riesgos!$J$4:$J$89,"BAJO")</f>
        <v>1</v>
      </c>
      <c r="G12" s="94">
        <f>SUM(C12:F12)</f>
        <v>8</v>
      </c>
      <c r="H12" s="95">
        <f>IFERROR(AVERAGEIFS(Riesgos!$M$4:$M$89,Riesgos!$K$4:$K$89,$B12),0)</f>
        <v>9.5</v>
      </c>
      <c r="I12" s="94">
        <f>_xlfn.MAXIFS(Riesgos!$M$4:$M$89,Riesgos!$K$4:$K$89,$B12)</f>
        <v>16</v>
      </c>
      <c r="J12" s="96" t="str">
        <f>IF(C12&gt;=2,"Nivel 1 – CRÍTICO (No Cumple)",IF(OR(C12=1,D12&gt;=3),"Nivel 2 – ALTO (Brecha Mayor)",IF(D12&gt;=1,"Nivel 3 – MEDIO (Brecha Parcial)","Nivel 4 – BAJO (Cumple)")))</f>
        <v>Nivel 2 – ALTO (Brecha Mayor)</v>
      </c>
      <c r="L12" s="104" t="s">
        <v>589</v>
      </c>
      <c r="M12" s="109">
        <f>COUNTIFS(Riesgos!$F$4:$F$89,2,Riesgos!$H$4:$H$89,1,Riesgos!$B$4:$B$89,"Brecha")</f>
        <v>1</v>
      </c>
      <c r="N12" s="105">
        <f>COUNTIFS(Riesgos!$F$4:$F$89,2,Riesgos!$H$4:$H$89,2,Riesgos!$B$4:$B$89,"Brecha")</f>
        <v>7</v>
      </c>
      <c r="O12" s="105">
        <f>COUNTIFS(Riesgos!$F$4:$F$89,2,Riesgos!$H$4:$H$89,3,Riesgos!$B$4:$B$89,"Brecha")</f>
        <v>9</v>
      </c>
      <c r="P12" s="106">
        <f>COUNTIFS(Riesgos!$F$4:$F$89,2,Riesgos!$H$4:$H$89,4,Riesgos!$B$4:$B$89,"Brecha")</f>
        <v>1</v>
      </c>
      <c r="Q12" s="110">
        <f>COUNTIFS(Riesgos!$F$4:$F$89,2,Riesgos!$H$4:$H$89,5,Riesgos!$B$4:$B$89,"Brecha")</f>
        <v>0</v>
      </c>
    </row>
    <row r="13" spans="2:17" ht="24" customHeight="1" x14ac:dyDescent="0.35">
      <c r="B13" s="93" t="s">
        <v>234</v>
      </c>
      <c r="C13" s="94">
        <f>COUNTIFS(Riesgos!$K$4:$K$89,$B13,Riesgos!$J$4:$J$89,"CRÍTICO")</f>
        <v>3</v>
      </c>
      <c r="D13" s="94">
        <f>COUNTIFS(Riesgos!$K$4:$K$89,$B13,Riesgos!$J$4:$J$89,"MEDIO-ALTO")</f>
        <v>4</v>
      </c>
      <c r="E13" s="94">
        <f>COUNTIFS(Riesgos!$K$4:$K$89,$B13,Riesgos!$J$4:$J$89,"MEDIO")</f>
        <v>1</v>
      </c>
      <c r="F13" s="94">
        <f>COUNTIFS(Riesgos!$K$4:$K$89,$B13,Riesgos!$J$4:$J$89,"BAJO")</f>
        <v>0</v>
      </c>
      <c r="G13" s="94">
        <f>SUM(C13:F13)</f>
        <v>8</v>
      </c>
      <c r="H13" s="95">
        <f>IFERROR(AVERAGEIFS(Riesgos!$M$4:$M$89,Riesgos!$K$4:$K$89,$B13),0)</f>
        <v>11.875</v>
      </c>
      <c r="I13" s="94">
        <f>_xlfn.MAXIFS(Riesgos!$M$4:$M$89,Riesgos!$K$4:$K$89,$B13)</f>
        <v>20</v>
      </c>
      <c r="J13" s="96" t="str">
        <f>IF(C13&gt;=2,"Nivel 1 – CRÍTICO (No Cumple)",IF(OR(C13=1,D13&gt;=3),"Nivel 2 – ALTO (Brecha Mayor)",IF(D13&gt;=1,"Nivel 3 – MEDIO (Brecha Parcial)","Nivel 4 – BAJO (Cumple)")))</f>
        <v>Nivel 1 – CRÍTICO (No Cumple)</v>
      </c>
      <c r="L13" s="104" t="s">
        <v>590</v>
      </c>
      <c r="M13" s="109">
        <f>COUNTIFS(Riesgos!$F$4:$F$89,1,Riesgos!$H$4:$H$89,1,Riesgos!$B$4:$B$89,"Brecha")</f>
        <v>0</v>
      </c>
      <c r="N13" s="109">
        <f>COUNTIFS(Riesgos!$F$4:$F$89,1,Riesgos!$H$4:$H$89,2,Riesgos!$B$4:$B$89,"Brecha")</f>
        <v>1</v>
      </c>
      <c r="O13" s="109">
        <f>COUNTIFS(Riesgos!$F$4:$F$89,1,Riesgos!$H$4:$H$89,3,Riesgos!$B$4:$B$89,"Brecha")</f>
        <v>0</v>
      </c>
      <c r="P13" s="105">
        <f>COUNTIFS(Riesgos!$F$4:$F$89,1,Riesgos!$H$4:$H$89,4,Riesgos!$B$4:$B$89,"Brecha")</f>
        <v>0</v>
      </c>
      <c r="Q13" s="111">
        <f>COUNTIFS(Riesgos!$F$4:$F$89,1,Riesgos!$H$4:$H$89,5,Riesgos!$B$4:$B$89,"Brecha")</f>
        <v>0</v>
      </c>
    </row>
    <row r="14" spans="2:17" x14ac:dyDescent="0.35">
      <c r="B14" s="93" t="s">
        <v>262</v>
      </c>
      <c r="C14" s="94">
        <f>COUNTIFS(Riesgos!$K$4:$K$89,$B14,Riesgos!$J$4:$J$89,"CRÍTICO")</f>
        <v>1</v>
      </c>
      <c r="D14" s="94">
        <f>COUNTIFS(Riesgos!$K$4:$K$89,$B14,Riesgos!$J$4:$J$89,"MEDIO-ALTO")</f>
        <v>1</v>
      </c>
      <c r="E14" s="94">
        <f>COUNTIFS(Riesgos!$K$4:$K$89,$B14,Riesgos!$J$4:$J$89,"MEDIO")</f>
        <v>3</v>
      </c>
      <c r="F14" s="94">
        <f>COUNTIFS(Riesgos!$K$4:$K$89,$B14,Riesgos!$J$4:$J$89,"BAJO")</f>
        <v>0</v>
      </c>
      <c r="G14" s="94">
        <f>SUM(C14:F14)</f>
        <v>5</v>
      </c>
      <c r="H14" s="95">
        <f>IFERROR(AVERAGEIFS(Riesgos!$M$4:$M$89,Riesgos!$K$4:$K$89,$B14),0)</f>
        <v>7.8</v>
      </c>
      <c r="I14" s="94">
        <f>_xlfn.MAXIFS(Riesgos!$M$4:$M$89,Riesgos!$K$4:$K$89,$B14)</f>
        <v>16</v>
      </c>
      <c r="J14" s="96" t="str">
        <f>IF(C14&gt;=2,"Nivel 1 – CRÍTICO (No Cumple)",IF(OR(C14=1,D14&gt;=3),"Nivel 2 – ALTO (Brecha Mayor)",IF(D14&gt;=1,"Nivel 3 – MEDIO (Brecha Parcial)","Nivel 4 – BAJO (Cumple)")))</f>
        <v>Nivel 2 – ALTO (Brecha Mayor)</v>
      </c>
      <c r="L14" s="85" t="s">
        <v>591</v>
      </c>
    </row>
    <row r="15" spans="2:17" x14ac:dyDescent="0.35">
      <c r="B15" s="93" t="s">
        <v>281</v>
      </c>
      <c r="C15" s="94">
        <f>COUNTIFS(Riesgos!$K$4:$K$89,$B15,Riesgos!$J$4:$J$89,"CRÍTICO")</f>
        <v>2</v>
      </c>
      <c r="D15" s="94">
        <f>COUNTIFS(Riesgos!$K$4:$K$89,$B15,Riesgos!$J$4:$J$89,"MEDIO-ALTO")</f>
        <v>2</v>
      </c>
      <c r="E15" s="94">
        <f>COUNTIFS(Riesgos!$K$4:$K$89,$B15,Riesgos!$J$4:$J$89,"MEDIO")</f>
        <v>2</v>
      </c>
      <c r="F15" s="94">
        <f>COUNTIFS(Riesgos!$K$4:$K$89,$B15,Riesgos!$J$4:$J$89,"BAJO")</f>
        <v>0</v>
      </c>
      <c r="G15" s="94">
        <f>SUM(C15:F15)</f>
        <v>6</v>
      </c>
      <c r="H15" s="95">
        <f>IFERROR(AVERAGEIFS(Riesgos!$M$4:$M$89,Riesgos!$K$4:$K$89,$B15),0)</f>
        <v>10.333333333333334</v>
      </c>
      <c r="I15" s="94">
        <f>_xlfn.MAXIFS(Riesgos!$M$4:$M$89,Riesgos!$K$4:$K$89,$B15)</f>
        <v>16</v>
      </c>
      <c r="J15" s="96" t="str">
        <f>IF(C15&gt;=2,"Nivel 1 – CRÍTICO (No Cumple)",IF(OR(C15=1,D15&gt;=3),"Nivel 2 – ALTO (Brecha Mayor)",IF(D15&gt;=1,"Nivel 3 – MEDIO (Brecha Parcial)","Nivel 4 – BAJO (Cumple)")))</f>
        <v>Nivel 1 – CRÍTICO (No Cumple)</v>
      </c>
    </row>
    <row r="16" spans="2:17" x14ac:dyDescent="0.35">
      <c r="B16" s="93" t="s">
        <v>305</v>
      </c>
      <c r="C16" s="94">
        <f>COUNTIFS(Riesgos!$K$4:$K$89,$B16,Riesgos!$J$4:$J$89,"CRÍTICO")</f>
        <v>0</v>
      </c>
      <c r="D16" s="94">
        <f>COUNTIFS(Riesgos!$K$4:$K$89,$B16,Riesgos!$J$4:$J$89,"MEDIO-ALTO")</f>
        <v>1</v>
      </c>
      <c r="E16" s="94">
        <f>COUNTIFS(Riesgos!$K$4:$K$89,$B16,Riesgos!$J$4:$J$89,"MEDIO")</f>
        <v>4</v>
      </c>
      <c r="F16" s="94">
        <f>COUNTIFS(Riesgos!$K$4:$K$89,$B16,Riesgos!$J$4:$J$89,"BAJO")</f>
        <v>0</v>
      </c>
      <c r="G16" s="94">
        <f>SUM(C16:F16)</f>
        <v>5</v>
      </c>
      <c r="H16" s="95">
        <f>IFERROR(AVERAGEIFS(Riesgos!$M$4:$M$89,Riesgos!$K$4:$K$89,$B16),0)</f>
        <v>6.8</v>
      </c>
      <c r="I16" s="94">
        <f>_xlfn.MAXIFS(Riesgos!$M$4:$M$89,Riesgos!$K$4:$K$89,$B16)</f>
        <v>12</v>
      </c>
      <c r="J16" s="96" t="str">
        <f>IF(C16&gt;=2,"Nivel 1 – CRÍTICO (No Cumple)",IF(OR(C16=1,D16&gt;=3),"Nivel 2 – ALTO (Brecha Mayor)",IF(D16&gt;=1,"Nivel 3 – MEDIO (Brecha Parcial)","Nivel 4 – BAJO (Cumple)")))</f>
        <v>Nivel 3 – MEDIO (Brecha Parcial)</v>
      </c>
      <c r="L16" s="83" t="s">
        <v>592</v>
      </c>
      <c r="M16" s="83"/>
      <c r="O16" s="83" t="s">
        <v>593</v>
      </c>
      <c r="P16" s="83"/>
      <c r="Q16" s="83"/>
    </row>
    <row r="17" spans="2:17" x14ac:dyDescent="0.35">
      <c r="B17" s="97" t="s">
        <v>433</v>
      </c>
      <c r="C17" s="98">
        <f>SUM(C9:C16)</f>
        <v>8</v>
      </c>
      <c r="D17" s="98">
        <f>SUM(D9:D16)</f>
        <v>22</v>
      </c>
      <c r="E17" s="98">
        <f>SUM(E9:E16)</f>
        <v>27</v>
      </c>
      <c r="F17" s="98">
        <f>SUM(F9:F16)</f>
        <v>2</v>
      </c>
      <c r="G17" s="98">
        <f>SUM(G9:G16)</f>
        <v>59</v>
      </c>
      <c r="H17" s="99">
        <f>AVERAGEIFS(Riesgos!$M$4:$M$89,Riesgos!$B$4:$B$89,"Brecha")</f>
        <v>8.4745762711864412</v>
      </c>
      <c r="I17" s="98">
        <f>_xlfn.MAXIFS(Riesgos!$M$4:$M$89,Riesgos!$B$4:$B$89,"Brecha")</f>
        <v>20</v>
      </c>
      <c r="J17" s="100"/>
      <c r="L17" s="112" t="s">
        <v>594</v>
      </c>
      <c r="M17" s="113" t="s">
        <v>595</v>
      </c>
      <c r="O17" s="112" t="s">
        <v>597</v>
      </c>
      <c r="P17" s="119" t="s">
        <v>598</v>
      </c>
      <c r="Q17" s="113" t="s">
        <v>599</v>
      </c>
    </row>
    <row r="18" spans="2:17" x14ac:dyDescent="0.35">
      <c r="L18" s="114" t="s">
        <v>467</v>
      </c>
      <c r="M18" s="115">
        <f>COUNTIF('Plan de Acción'!$D$4:$D$34,L18)</f>
        <v>7</v>
      </c>
      <c r="O18" s="93" t="s">
        <v>340</v>
      </c>
      <c r="P18" s="94">
        <f>COUNTIFS(Riesgos!$N$4:$N$89,O18,Riesgos!$K$4:$K$89,"Hoja de ruta Acuerdo 07-2025")</f>
        <v>7</v>
      </c>
      <c r="Q18" s="115" t="s">
        <v>600</v>
      </c>
    </row>
    <row r="19" spans="2:17" x14ac:dyDescent="0.35">
      <c r="B19" s="83" t="s">
        <v>603</v>
      </c>
      <c r="C19" s="83"/>
      <c r="D19" s="83"/>
      <c r="E19" s="83"/>
      <c r="F19" s="83"/>
      <c r="G19" s="83"/>
      <c r="H19" s="83"/>
      <c r="I19" s="83"/>
      <c r="J19" s="83"/>
      <c r="L19" s="116" t="s">
        <v>492</v>
      </c>
      <c r="M19" s="115">
        <f>COUNTIF('Plan de Acción'!$D$4:$D$34,L19)</f>
        <v>14</v>
      </c>
      <c r="O19" s="93" t="s">
        <v>349</v>
      </c>
      <c r="P19" s="94">
        <f>COUNTIFS(Riesgos!$N$4:$N$89,O19,Riesgos!$K$4:$K$89,"Hoja de ruta Acuerdo 07-2025")</f>
        <v>13</v>
      </c>
      <c r="Q19" s="115" t="s">
        <v>601</v>
      </c>
    </row>
    <row r="20" spans="2:17" x14ac:dyDescent="0.35">
      <c r="B20" s="112" t="s">
        <v>64</v>
      </c>
      <c r="C20" s="113" t="s">
        <v>604</v>
      </c>
      <c r="L20" s="117" t="s">
        <v>534</v>
      </c>
      <c r="M20" s="115">
        <f>COUNTIF('Plan de Acción'!$D$4:$D$34,L20)</f>
        <v>10</v>
      </c>
      <c r="O20" s="93" t="s">
        <v>372</v>
      </c>
      <c r="P20" s="94">
        <f>COUNTIFS(Riesgos!$N$4:$N$89,O20,Riesgos!$K$4:$K$89,"Hoja de ruta Acuerdo 07-2025")</f>
        <v>4</v>
      </c>
      <c r="Q20" s="115" t="s">
        <v>602</v>
      </c>
    </row>
    <row r="21" spans="2:17" x14ac:dyDescent="0.35">
      <c r="B21" s="93" t="s">
        <v>36</v>
      </c>
      <c r="C21" s="115">
        <f>COUNTIF(Riesgos!$J$4:$J$89,B21)</f>
        <v>8</v>
      </c>
      <c r="L21" s="97" t="s">
        <v>596</v>
      </c>
      <c r="M21" s="118">
        <f>SUM(M18:M20)</f>
        <v>31</v>
      </c>
      <c r="O21" s="97" t="s">
        <v>596</v>
      </c>
      <c r="P21" s="98">
        <f>SUM(P18:P20)</f>
        <v>24</v>
      </c>
      <c r="Q21" s="118"/>
    </row>
    <row r="22" spans="2:17" x14ac:dyDescent="0.35">
      <c r="B22" s="93" t="s">
        <v>34</v>
      </c>
      <c r="C22" s="115">
        <f>COUNTIF(Riesgos!$J$4:$J$89,B22)</f>
        <v>22</v>
      </c>
    </row>
    <row r="23" spans="2:17" x14ac:dyDescent="0.35">
      <c r="B23" s="93" t="s">
        <v>32</v>
      </c>
      <c r="C23" s="115">
        <f>COUNTIF(Riesgos!$J$4:$J$89,B23)</f>
        <v>27</v>
      </c>
    </row>
    <row r="24" spans="2:17" x14ac:dyDescent="0.35">
      <c r="B24" s="93" t="s">
        <v>45</v>
      </c>
      <c r="C24" s="115">
        <f>COUNTIF(Riesgos!$J$4:$J$89,B24)</f>
        <v>2</v>
      </c>
    </row>
    <row r="25" spans="2:17" x14ac:dyDescent="0.35">
      <c r="B25" s="120" t="s">
        <v>605</v>
      </c>
      <c r="C25" s="121">
        <f>IFERROR((C21+C22)/SUM(C21:C24),0)</f>
        <v>0.50847457627118642</v>
      </c>
    </row>
    <row r="35" spans="2:10" x14ac:dyDescent="0.35">
      <c r="B35" s="83" t="s">
        <v>606</v>
      </c>
      <c r="C35" s="83"/>
      <c r="D35" s="83"/>
      <c r="E35" s="83"/>
      <c r="F35" s="83"/>
      <c r="G35" s="83"/>
      <c r="H35" s="83"/>
      <c r="I35" s="83"/>
      <c r="J35" s="83"/>
    </row>
    <row r="36" spans="2:10" x14ac:dyDescent="0.35">
      <c r="B36" s="125" t="s">
        <v>607</v>
      </c>
      <c r="C36" s="126"/>
      <c r="D36" s="126"/>
      <c r="E36" s="126"/>
      <c r="F36" s="126"/>
      <c r="G36" s="122" t="s">
        <v>432</v>
      </c>
      <c r="H36" s="122" t="s">
        <v>608</v>
      </c>
      <c r="I36" s="122" t="s">
        <v>66</v>
      </c>
      <c r="J36" s="123" t="s">
        <v>609</v>
      </c>
    </row>
    <row r="37" spans="2:10" x14ac:dyDescent="0.35">
      <c r="B37" s="93" t="str" cm="1">
        <f t="array" ref="B37:B44">_xlfn.LET(_xlpm.f,Riesgos!$J$4:$J$89="CRÍTICO",_xlpm.s,_xlfn._xlws.FILTER(Riesgos!$M$4:$M$89,_xlpm.f),_xlpm.a,_xlfn._xlws.FILTER(Riesgos!$A$4:$A$89,_xlpm.f),_xlfn.SORTBY(LEFT(_xlpm.a,FIND(". ",_xlpm.a)-1),_xlpm.s,-1))</f>
        <v>DD-01 · Observaciones en el 88.24 % de los expedientes de clientes</v>
      </c>
      <c r="C37" s="124"/>
      <c r="D37" s="124"/>
      <c r="E37" s="124"/>
      <c r="F37" s="124"/>
      <c r="G37" s="124" t="str" cm="1">
        <f t="array" ref="G37:G44">_xlfn.LET(_xlpm.f,Riesgos!$J$4:$J$89="CRÍTICO",_xlpm.s,_xlfn._xlws.FILTER(Riesgos!$M$4:$M$89,_xlpm.f),_xlfn.SORTBY(_xlfn._xlws.FILTER(Riesgos!$K$4:$K$89,_xlpm.f),_xlpm.s,-1))</f>
        <v>Debida Diligencia</v>
      </c>
      <c r="H37" s="94" t="str" cm="1">
        <f t="array" ref="H37:H44">_xlfn.LET(_xlpm.f,Riesgos!$J$4:$J$89="CRÍTICO",_xlpm.s,_xlfn._xlws.FILTER(Riesgos!$M$4:$M$89,_xlpm.f),_xlfn.SORTBY(_xlfn._xlws.FILTER(Riesgos!$I$4:$I$89,_xlpm.f),_xlpm.s,-1))</f>
        <v>5:4</v>
      </c>
      <c r="I37" s="94" cm="1">
        <f t="array" ref="I37:I44">_xlfn.LET(_xlpm.f,Riesgos!$J$4:$J$89="CRÍTICO",_xlpm.s,_xlfn._xlws.FILTER(Riesgos!$M$4:$M$89,_xlpm.f),_xlfn.SORTBY(_xlpm.s,_xlpm.s,-1))</f>
        <v>20</v>
      </c>
      <c r="J37" s="96" t="str" cm="1">
        <f t="array" ref="J37:J44">_xlfn.LET(_xlpm.f,Riesgos!$J$4:$J$89="CRÍTICO",_xlpm.s,_xlfn._xlws.FILTER(Riesgos!$M$4:$M$89,_xlpm.f),_xlfn.SORTBY(_xlfn._xlws.FILTER(Riesgos!$N$4:$N$89,_xlpm.f),_xlpm.s,-1))</f>
        <v>PA-07</v>
      </c>
    </row>
    <row r="38" spans="2:10" x14ac:dyDescent="0.35">
      <c r="B38" s="93" t="str">
        <v>GC-01 · Oficial de Cumplimiento con doble función y sin apoyo profesional</v>
      </c>
      <c r="C38" s="124"/>
      <c r="D38" s="124"/>
      <c r="E38" s="124"/>
      <c r="F38" s="124"/>
      <c r="G38" s="124" t="str">
        <v>Gobierno Corporativo</v>
      </c>
      <c r="H38" s="94" t="str">
        <v>4:4</v>
      </c>
      <c r="I38" s="94">
        <v>16</v>
      </c>
      <c r="J38" s="96" t="str">
        <v>PA-01</v>
      </c>
    </row>
    <row r="39" spans="2:10" x14ac:dyDescent="0.35">
      <c r="B39" s="93" t="str">
        <v>MT-01 · Monitoreo transaccional manual sin cronograma de automatización</v>
      </c>
      <c r="C39" s="124"/>
      <c r="D39" s="124"/>
      <c r="E39" s="124"/>
      <c r="F39" s="124"/>
      <c r="G39" s="124" t="str">
        <v>Monitoreo Transaccional</v>
      </c>
      <c r="H39" s="94" t="str">
        <v>4:4</v>
      </c>
      <c r="I39" s="94">
        <v>16</v>
      </c>
      <c r="J39" s="96" t="str">
        <v>PA-13</v>
      </c>
    </row>
    <row r="40" spans="2:10" x14ac:dyDescent="0.35">
      <c r="B40" s="93" t="str">
        <v>DD-02 · Emisión sin perfil de riesgo y canal web con CTC incompleto</v>
      </c>
      <c r="C40" s="124"/>
      <c r="D40" s="124"/>
      <c r="E40" s="124"/>
      <c r="F40" s="124"/>
      <c r="G40" s="124" t="str">
        <v>Debida Diligencia</v>
      </c>
      <c r="H40" s="94" t="str">
        <v>4:4</v>
      </c>
      <c r="I40" s="94">
        <v>16</v>
      </c>
      <c r="J40" s="96" t="str">
        <v>PA-05</v>
      </c>
    </row>
    <row r="41" spans="2:10" x14ac:dyDescent="0.35">
      <c r="B41" s="93" t="str">
        <v>ER-01 · Matrices BC/FT/FPADM sin copia aportada y sin evaluación institucional integrada</v>
      </c>
      <c r="C41" s="124"/>
      <c r="D41" s="124"/>
      <c r="E41" s="124"/>
      <c r="F41" s="124"/>
      <c r="G41" s="124" t="str">
        <v>Evaluación de Riesgo AML</v>
      </c>
      <c r="H41" s="94" t="str">
        <v>4:4</v>
      </c>
      <c r="I41" s="94">
        <v>16</v>
      </c>
      <c r="J41" s="96" t="str">
        <v>PA-09</v>
      </c>
    </row>
    <row r="42" spans="2:10" x14ac:dyDescent="0.35">
      <c r="B42" s="93" t="str">
        <v>RR-01 · Sin ROS en el período ni registro de operaciones inusuales</v>
      </c>
      <c r="C42" s="124"/>
      <c r="D42" s="124"/>
      <c r="E42" s="124"/>
      <c r="F42" s="124"/>
      <c r="G42" s="124" t="str">
        <v>Reportes Regulatorios</v>
      </c>
      <c r="H42" s="94" t="str">
        <v>4:4</v>
      </c>
      <c r="I42" s="94">
        <v>16</v>
      </c>
      <c r="J42" s="96" t="str">
        <v>PA-04</v>
      </c>
    </row>
    <row r="43" spans="2:10" x14ac:dyDescent="0.35">
      <c r="B43" s="93" t="str">
        <v>DD-08 · Conoce a tu Colaborador desactualizado</v>
      </c>
      <c r="C43" s="124"/>
      <c r="D43" s="124"/>
      <c r="E43" s="124"/>
      <c r="F43" s="124"/>
      <c r="G43" s="124" t="str">
        <v>Debida Diligencia</v>
      </c>
      <c r="H43" s="94" t="str">
        <v>5:3</v>
      </c>
      <c r="I43" s="94">
        <v>15</v>
      </c>
      <c r="J43" s="96" t="str">
        <v>PA-08</v>
      </c>
    </row>
    <row r="44" spans="2:10" x14ac:dyDescent="0.35">
      <c r="B44" s="93" t="str">
        <v>RR-02 · Caso de Fianzas 2024 no escalado a Cumplimiento</v>
      </c>
      <c r="C44" s="124"/>
      <c r="D44" s="124"/>
      <c r="E44" s="124"/>
      <c r="F44" s="124"/>
      <c r="G44" s="124" t="str">
        <v>Reportes Regulatorios</v>
      </c>
      <c r="H44" s="94" t="str">
        <v>3:5</v>
      </c>
      <c r="I44" s="94">
        <v>15</v>
      </c>
      <c r="J44" s="96" t="str">
        <v>PA-03</v>
      </c>
    </row>
    <row r="45" spans="2:10" x14ac:dyDescent="0.35">
      <c r="H45" s="84"/>
      <c r="I45" s="84"/>
    </row>
    <row r="46" spans="2:10" x14ac:dyDescent="0.35">
      <c r="H46" s="84"/>
      <c r="I46" s="84"/>
    </row>
  </sheetData>
  <mergeCells count="23">
    <mergeCell ref="B36:F36"/>
    <mergeCell ref="B7:J7"/>
    <mergeCell ref="L7:Q7"/>
    <mergeCell ref="L16:M16"/>
    <mergeCell ref="O16:Q16"/>
    <mergeCell ref="B19:J19"/>
    <mergeCell ref="B35:J35"/>
    <mergeCell ref="L4:M4"/>
    <mergeCell ref="L5:M5"/>
    <mergeCell ref="N4:O4"/>
    <mergeCell ref="N5:O5"/>
    <mergeCell ref="P4:Q4"/>
    <mergeCell ref="P5:Q5"/>
    <mergeCell ref="B1:Q1"/>
    <mergeCell ref="B2:Q2"/>
    <mergeCell ref="C4:D4"/>
    <mergeCell ref="C5:D5"/>
    <mergeCell ref="E4:F4"/>
    <mergeCell ref="E5:F5"/>
    <mergeCell ref="G4:H4"/>
    <mergeCell ref="G5:H5"/>
    <mergeCell ref="I4:J4"/>
    <mergeCell ref="I5:J5"/>
  </mergeCells>
  <conditionalFormatting sqref="J9:J16">
    <cfRule type="containsText" dxfId="3" priority="1" operator="containsText" text="Nivel 1">
      <formula>NOT(ISERROR(SEARCH("Nivel 1",J9)))</formula>
    </cfRule>
  </conditionalFormatting>
  <conditionalFormatting sqref="J9:J16">
    <cfRule type="containsText" dxfId="2" priority="2" operator="containsText" text="Nivel 2">
      <formula>NOT(ISERROR(SEARCH("Nivel 2",J9)))</formula>
    </cfRule>
  </conditionalFormatting>
  <conditionalFormatting sqref="J9:J16">
    <cfRule type="containsText" dxfId="1" priority="3" operator="containsText" text="Nivel 3">
      <formula>NOT(ISERROR(SEARCH("Nivel 3",J9)))</formula>
    </cfRule>
  </conditionalFormatting>
  <conditionalFormatting sqref="J9:J16">
    <cfRule type="containsText" dxfId="0" priority="4" operator="containsText" text="Nivel 4">
      <formula>NOT(ISERROR(SEARCH("Nivel 4",J9)))</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
  <sheetViews>
    <sheetView showGridLines="0" zoomScale="90" zoomScaleNormal="90" workbookViewId="0">
      <selection activeCell="E8" sqref="E8"/>
    </sheetView>
  </sheetViews>
  <sheetFormatPr baseColWidth="10" defaultColWidth="8.6328125" defaultRowHeight="14.5" x14ac:dyDescent="0.35"/>
  <cols>
    <col min="1" max="1" width="18" customWidth="1"/>
    <col min="2" max="2" width="62" customWidth="1"/>
    <col min="3" max="3" width="14" customWidth="1"/>
    <col min="4" max="4" width="6" customWidth="1"/>
    <col min="5" max="5" width="10" customWidth="1"/>
  </cols>
  <sheetData>
    <row r="1" spans="1:5" ht="31.5" customHeight="1" x14ac:dyDescent="0.35">
      <c r="A1" s="14" t="s">
        <v>0</v>
      </c>
      <c r="B1" s="14"/>
      <c r="C1" s="14"/>
      <c r="D1" s="14"/>
      <c r="E1" s="14"/>
    </row>
    <row r="2" spans="1:5" ht="18" customHeight="1" x14ac:dyDescent="0.35">
      <c r="A2" s="13" t="s">
        <v>1</v>
      </c>
      <c r="B2" s="13"/>
      <c r="C2" s="13"/>
      <c r="D2" s="13"/>
      <c r="E2" s="13"/>
    </row>
    <row r="3" spans="1:5" ht="7.5" customHeight="1" x14ac:dyDescent="0.35"/>
    <row r="4" spans="1:5" ht="21.75" customHeight="1" x14ac:dyDescent="0.35">
      <c r="A4" s="46" t="s">
        <v>2</v>
      </c>
      <c r="B4" s="46"/>
      <c r="C4" s="46"/>
      <c r="D4" s="46"/>
      <c r="E4" s="46"/>
    </row>
    <row r="5" spans="1:5" ht="18" customHeight="1" x14ac:dyDescent="0.35">
      <c r="A5" s="15" t="s">
        <v>3</v>
      </c>
      <c r="B5" s="15" t="s">
        <v>4</v>
      </c>
      <c r="C5" s="15"/>
      <c r="D5" s="15"/>
      <c r="E5" s="15" t="s">
        <v>5</v>
      </c>
    </row>
    <row r="6" spans="1:5" ht="27.75" customHeight="1" x14ac:dyDescent="0.35">
      <c r="A6" s="16" t="s">
        <v>6</v>
      </c>
      <c r="B6" s="47" t="s">
        <v>7</v>
      </c>
      <c r="C6" s="47"/>
      <c r="D6" s="47"/>
      <c r="E6" s="16">
        <v>5</v>
      </c>
    </row>
    <row r="7" spans="1:5" ht="27.75" customHeight="1" x14ac:dyDescent="0.35">
      <c r="A7" s="17" t="s">
        <v>8</v>
      </c>
      <c r="B7" s="47" t="s">
        <v>9</v>
      </c>
      <c r="C7" s="47"/>
      <c r="D7" s="47"/>
      <c r="E7" s="17">
        <v>4</v>
      </c>
    </row>
    <row r="8" spans="1:5" ht="27.75" customHeight="1" x14ac:dyDescent="0.35">
      <c r="A8" s="18" t="s">
        <v>10</v>
      </c>
      <c r="B8" s="47" t="s">
        <v>11</v>
      </c>
      <c r="C8" s="47"/>
      <c r="D8" s="47"/>
      <c r="E8" s="18">
        <v>3</v>
      </c>
    </row>
    <row r="9" spans="1:5" ht="27.75" customHeight="1" x14ac:dyDescent="0.35">
      <c r="A9" s="19" t="s">
        <v>12</v>
      </c>
      <c r="B9" s="47" t="s">
        <v>13</v>
      </c>
      <c r="C9" s="47"/>
      <c r="D9" s="47"/>
      <c r="E9" s="19">
        <v>2</v>
      </c>
    </row>
    <row r="10" spans="1:5" ht="27.75" customHeight="1" x14ac:dyDescent="0.35">
      <c r="A10" s="20" t="s">
        <v>14</v>
      </c>
      <c r="B10" s="47" t="s">
        <v>15</v>
      </c>
      <c r="C10" s="47"/>
      <c r="D10" s="47"/>
      <c r="E10" s="20">
        <v>1</v>
      </c>
    </row>
    <row r="11" spans="1:5" ht="7.5" customHeight="1" x14ac:dyDescent="0.35"/>
    <row r="12" spans="1:5" ht="21.75" customHeight="1" x14ac:dyDescent="0.35">
      <c r="A12" s="46" t="s">
        <v>16</v>
      </c>
      <c r="B12" s="46"/>
      <c r="C12" s="46"/>
      <c r="D12" s="46"/>
      <c r="E12" s="46"/>
    </row>
    <row r="13" spans="1:5" ht="18" customHeight="1" x14ac:dyDescent="0.35">
      <c r="A13" s="15" t="s">
        <v>3</v>
      </c>
      <c r="B13" s="15" t="s">
        <v>4</v>
      </c>
      <c r="C13" s="15"/>
      <c r="D13" s="15"/>
      <c r="E13" s="15" t="s">
        <v>5</v>
      </c>
    </row>
    <row r="14" spans="1:5" ht="27.75" customHeight="1" x14ac:dyDescent="0.35">
      <c r="A14" s="16" t="s">
        <v>17</v>
      </c>
      <c r="B14" s="47" t="s">
        <v>18</v>
      </c>
      <c r="C14" s="47"/>
      <c r="D14" s="47"/>
      <c r="E14" s="16">
        <v>5</v>
      </c>
    </row>
    <row r="15" spans="1:5" ht="27.75" customHeight="1" x14ac:dyDescent="0.35">
      <c r="A15" s="17" t="s">
        <v>19</v>
      </c>
      <c r="B15" s="47" t="s">
        <v>20</v>
      </c>
      <c r="C15" s="47"/>
      <c r="D15" s="47"/>
      <c r="E15" s="17">
        <v>4</v>
      </c>
    </row>
    <row r="16" spans="1:5" ht="27.75" customHeight="1" x14ac:dyDescent="0.35">
      <c r="A16" s="18" t="s">
        <v>21</v>
      </c>
      <c r="B16" s="47" t="s">
        <v>22</v>
      </c>
      <c r="C16" s="47"/>
      <c r="D16" s="47"/>
      <c r="E16" s="18">
        <v>3</v>
      </c>
    </row>
    <row r="17" spans="1:5" ht="27.75" customHeight="1" x14ac:dyDescent="0.35">
      <c r="A17" s="19" t="s">
        <v>23</v>
      </c>
      <c r="B17" s="47" t="s">
        <v>24</v>
      </c>
      <c r="C17" s="47"/>
      <c r="D17" s="47"/>
      <c r="E17" s="19">
        <v>2</v>
      </c>
    </row>
    <row r="18" spans="1:5" ht="27.75" customHeight="1" x14ac:dyDescent="0.35">
      <c r="A18" s="20" t="s">
        <v>25</v>
      </c>
      <c r="B18" s="47" t="s">
        <v>26</v>
      </c>
      <c r="C18" s="47"/>
      <c r="D18" s="47"/>
      <c r="E18" s="20">
        <v>1</v>
      </c>
    </row>
    <row r="19" spans="1:5" ht="7.5" customHeight="1" x14ac:dyDescent="0.35"/>
    <row r="20" spans="1:5" ht="21.75" customHeight="1" x14ac:dyDescent="0.35">
      <c r="A20" s="46" t="s">
        <v>27</v>
      </c>
      <c r="B20" s="46"/>
      <c r="C20" s="46"/>
      <c r="D20" s="46"/>
      <c r="E20" s="46"/>
    </row>
    <row r="21" spans="1:5" ht="18" customHeight="1" x14ac:dyDescent="0.35">
      <c r="A21" s="15" t="s">
        <v>28</v>
      </c>
      <c r="B21" s="15" t="s">
        <v>29</v>
      </c>
      <c r="C21" s="15" t="s">
        <v>30</v>
      </c>
    </row>
    <row r="22" spans="1:5" ht="18" customHeight="1" x14ac:dyDescent="0.35">
      <c r="A22" s="21" t="s">
        <v>31</v>
      </c>
      <c r="B22" s="18" t="s">
        <v>32</v>
      </c>
      <c r="C22" s="18">
        <v>5</v>
      </c>
    </row>
    <row r="23" spans="1:5" ht="18" customHeight="1" x14ac:dyDescent="0.35">
      <c r="A23" s="21" t="s">
        <v>33</v>
      </c>
      <c r="B23" s="17" t="s">
        <v>34</v>
      </c>
      <c r="C23" s="17">
        <v>10</v>
      </c>
    </row>
    <row r="24" spans="1:5" ht="18" customHeight="1" x14ac:dyDescent="0.35">
      <c r="A24" s="21" t="s">
        <v>35</v>
      </c>
      <c r="B24" s="16" t="s">
        <v>36</v>
      </c>
      <c r="C24" s="16">
        <v>15</v>
      </c>
    </row>
    <row r="25" spans="1:5" ht="18" customHeight="1" x14ac:dyDescent="0.35">
      <c r="A25" s="21" t="s">
        <v>37</v>
      </c>
      <c r="B25" s="16" t="s">
        <v>36</v>
      </c>
      <c r="C25" s="16">
        <v>20</v>
      </c>
    </row>
    <row r="26" spans="1:5" ht="18" customHeight="1" x14ac:dyDescent="0.35">
      <c r="A26" s="21" t="s">
        <v>38</v>
      </c>
      <c r="B26" s="16" t="s">
        <v>36</v>
      </c>
      <c r="C26" s="16">
        <v>25</v>
      </c>
    </row>
    <row r="27" spans="1:5" ht="18" customHeight="1" x14ac:dyDescent="0.35">
      <c r="A27" s="21" t="s">
        <v>39</v>
      </c>
      <c r="B27" s="18" t="s">
        <v>32</v>
      </c>
      <c r="C27" s="18">
        <v>4</v>
      </c>
    </row>
    <row r="28" spans="1:5" ht="18" customHeight="1" x14ac:dyDescent="0.35">
      <c r="A28" s="21" t="s">
        <v>40</v>
      </c>
      <c r="B28" s="17" t="s">
        <v>34</v>
      </c>
      <c r="C28" s="17">
        <v>8</v>
      </c>
    </row>
    <row r="29" spans="1:5" ht="18" customHeight="1" x14ac:dyDescent="0.35">
      <c r="A29" s="21" t="s">
        <v>41</v>
      </c>
      <c r="B29" s="17" t="s">
        <v>34</v>
      </c>
      <c r="C29" s="17">
        <v>12</v>
      </c>
    </row>
    <row r="30" spans="1:5" ht="18" customHeight="1" x14ac:dyDescent="0.35">
      <c r="A30" s="21" t="s">
        <v>42</v>
      </c>
      <c r="B30" s="16" t="s">
        <v>36</v>
      </c>
      <c r="C30" s="16">
        <v>16</v>
      </c>
    </row>
    <row r="31" spans="1:5" ht="18" customHeight="1" x14ac:dyDescent="0.35">
      <c r="A31" s="21" t="s">
        <v>43</v>
      </c>
      <c r="B31" s="16" t="s">
        <v>36</v>
      </c>
      <c r="C31" s="16">
        <v>20</v>
      </c>
    </row>
    <row r="32" spans="1:5" ht="18" customHeight="1" x14ac:dyDescent="0.35">
      <c r="A32" s="21" t="s">
        <v>44</v>
      </c>
      <c r="B32" s="19" t="s">
        <v>45</v>
      </c>
      <c r="C32" s="19">
        <v>3</v>
      </c>
    </row>
    <row r="33" spans="1:3" ht="18" customHeight="1" x14ac:dyDescent="0.35">
      <c r="A33" s="21" t="s">
        <v>46</v>
      </c>
      <c r="B33" s="18" t="s">
        <v>32</v>
      </c>
      <c r="C33" s="18">
        <v>6</v>
      </c>
    </row>
    <row r="34" spans="1:3" ht="18" customHeight="1" x14ac:dyDescent="0.35">
      <c r="A34" s="21" t="s">
        <v>47</v>
      </c>
      <c r="B34" s="17" t="s">
        <v>34</v>
      </c>
      <c r="C34" s="17">
        <v>9</v>
      </c>
    </row>
    <row r="35" spans="1:3" ht="18" customHeight="1" x14ac:dyDescent="0.35">
      <c r="A35" s="21" t="s">
        <v>48</v>
      </c>
      <c r="B35" s="17" t="s">
        <v>34</v>
      </c>
      <c r="C35" s="17">
        <v>12</v>
      </c>
    </row>
    <row r="36" spans="1:3" ht="18" customHeight="1" x14ac:dyDescent="0.35">
      <c r="A36" s="21" t="s">
        <v>49</v>
      </c>
      <c r="B36" s="16" t="s">
        <v>36</v>
      </c>
      <c r="C36" s="16">
        <v>15</v>
      </c>
    </row>
    <row r="37" spans="1:3" ht="18" customHeight="1" x14ac:dyDescent="0.35">
      <c r="A37" s="21" t="s">
        <v>50</v>
      </c>
      <c r="B37" s="19" t="s">
        <v>45</v>
      </c>
      <c r="C37" s="19">
        <v>2</v>
      </c>
    </row>
    <row r="38" spans="1:3" ht="18" customHeight="1" x14ac:dyDescent="0.35">
      <c r="A38" s="21" t="s">
        <v>51</v>
      </c>
      <c r="B38" s="18" t="s">
        <v>32</v>
      </c>
      <c r="C38" s="18">
        <v>4</v>
      </c>
    </row>
    <row r="39" spans="1:3" ht="18" customHeight="1" x14ac:dyDescent="0.35">
      <c r="A39" s="21" t="s">
        <v>52</v>
      </c>
      <c r="B39" s="18" t="s">
        <v>32</v>
      </c>
      <c r="C39" s="18">
        <v>6</v>
      </c>
    </row>
    <row r="40" spans="1:3" ht="18" customHeight="1" x14ac:dyDescent="0.35">
      <c r="A40" s="21" t="s">
        <v>53</v>
      </c>
      <c r="B40" s="17" t="s">
        <v>34</v>
      </c>
      <c r="C40" s="17">
        <v>8</v>
      </c>
    </row>
    <row r="41" spans="1:3" ht="18" customHeight="1" x14ac:dyDescent="0.35">
      <c r="A41" s="21" t="s">
        <v>54</v>
      </c>
      <c r="B41" s="17" t="s">
        <v>34</v>
      </c>
      <c r="C41" s="17">
        <v>10</v>
      </c>
    </row>
    <row r="42" spans="1:3" ht="18" customHeight="1" x14ac:dyDescent="0.35">
      <c r="A42" s="21" t="s">
        <v>55</v>
      </c>
      <c r="B42" s="19" t="s">
        <v>45</v>
      </c>
      <c r="C42" s="19">
        <v>1</v>
      </c>
    </row>
    <row r="43" spans="1:3" ht="18" customHeight="1" x14ac:dyDescent="0.35">
      <c r="A43" s="21" t="s">
        <v>56</v>
      </c>
      <c r="B43" s="19" t="s">
        <v>45</v>
      </c>
      <c r="C43" s="19">
        <v>2</v>
      </c>
    </row>
    <row r="44" spans="1:3" ht="18" customHeight="1" x14ac:dyDescent="0.35">
      <c r="A44" s="21" t="s">
        <v>57</v>
      </c>
      <c r="B44" s="19" t="s">
        <v>45</v>
      </c>
      <c r="C44" s="19">
        <v>3</v>
      </c>
    </row>
    <row r="45" spans="1:3" ht="18" customHeight="1" x14ac:dyDescent="0.35">
      <c r="A45" s="21" t="s">
        <v>58</v>
      </c>
      <c r="B45" s="18" t="s">
        <v>32</v>
      </c>
      <c r="C45" s="18">
        <v>4</v>
      </c>
    </row>
    <row r="46" spans="1:3" ht="18" customHeight="1" x14ac:dyDescent="0.35">
      <c r="A46" s="21" t="s">
        <v>59</v>
      </c>
      <c r="B46" s="18" t="s">
        <v>32</v>
      </c>
      <c r="C46" s="18">
        <v>5</v>
      </c>
    </row>
    <row r="47" spans="1:3" ht="18" customHeight="1" x14ac:dyDescent="0.35">
      <c r="A47" s="21" t="s">
        <v>60</v>
      </c>
      <c r="B47" s="22" t="s">
        <v>61</v>
      </c>
      <c r="C47" s="22" t="s">
        <v>62</v>
      </c>
    </row>
    <row r="48" spans="1:3" ht="7.5" customHeight="1" x14ac:dyDescent="0.35"/>
    <row r="49" spans="1:5" ht="21.75" customHeight="1" x14ac:dyDescent="0.35">
      <c r="A49" s="46" t="s">
        <v>63</v>
      </c>
      <c r="B49" s="46"/>
      <c r="C49" s="46"/>
      <c r="D49" s="46"/>
      <c r="E49" s="46"/>
    </row>
    <row r="50" spans="1:5" ht="18" customHeight="1" x14ac:dyDescent="0.35">
      <c r="A50" s="15" t="s">
        <v>64</v>
      </c>
      <c r="B50" s="15" t="s">
        <v>65</v>
      </c>
      <c r="C50" s="15"/>
      <c r="D50" s="15"/>
      <c r="E50" s="15" t="s">
        <v>66</v>
      </c>
    </row>
    <row r="51" spans="1:5" ht="27.75" customHeight="1" x14ac:dyDescent="0.35">
      <c r="A51" s="19" t="s">
        <v>45</v>
      </c>
      <c r="B51" s="48" t="s">
        <v>67</v>
      </c>
      <c r="C51" s="48"/>
      <c r="D51" s="48"/>
      <c r="E51" s="19" t="s">
        <v>68</v>
      </c>
    </row>
    <row r="52" spans="1:5" ht="27.75" customHeight="1" x14ac:dyDescent="0.35">
      <c r="A52" s="18" t="s">
        <v>32</v>
      </c>
      <c r="B52" s="48" t="s">
        <v>69</v>
      </c>
      <c r="C52" s="48"/>
      <c r="D52" s="48"/>
      <c r="E52" s="18" t="s">
        <v>70</v>
      </c>
    </row>
    <row r="53" spans="1:5" ht="27.75" customHeight="1" x14ac:dyDescent="0.35">
      <c r="A53" s="17" t="s">
        <v>34</v>
      </c>
      <c r="B53" s="48" t="s">
        <v>71</v>
      </c>
      <c r="C53" s="48"/>
      <c r="D53" s="48"/>
      <c r="E53" s="17" t="s">
        <v>72</v>
      </c>
    </row>
    <row r="54" spans="1:5" ht="27.75" customHeight="1" x14ac:dyDescent="0.35">
      <c r="A54" s="16" t="s">
        <v>36</v>
      </c>
      <c r="B54" s="48" t="s">
        <v>73</v>
      </c>
      <c r="C54" s="48"/>
      <c r="D54" s="48"/>
      <c r="E54" s="16" t="s">
        <v>74</v>
      </c>
    </row>
    <row r="55" spans="1:5" ht="27.75" customHeight="1" x14ac:dyDescent="0.35">
      <c r="A55" s="22" t="s">
        <v>61</v>
      </c>
      <c r="B55" s="48" t="s">
        <v>75</v>
      </c>
      <c r="C55" s="48"/>
      <c r="D55" s="48"/>
      <c r="E55" s="22" t="s">
        <v>62</v>
      </c>
    </row>
  </sheetData>
  <mergeCells count="21">
    <mergeCell ref="B55:D55"/>
    <mergeCell ref="A49:E49"/>
    <mergeCell ref="B51:D51"/>
    <mergeCell ref="B52:D52"/>
    <mergeCell ref="B53:D53"/>
    <mergeCell ref="B54:D54"/>
    <mergeCell ref="B15:D15"/>
    <mergeCell ref="B16:D16"/>
    <mergeCell ref="B17:D17"/>
    <mergeCell ref="B18:D18"/>
    <mergeCell ref="A20:E20"/>
    <mergeCell ref="B8:D8"/>
    <mergeCell ref="B9:D9"/>
    <mergeCell ref="B10:D10"/>
    <mergeCell ref="A12:E12"/>
    <mergeCell ref="B14:D14"/>
    <mergeCell ref="A1:E1"/>
    <mergeCell ref="A2:E2"/>
    <mergeCell ref="A4:E4"/>
    <mergeCell ref="B6:D6"/>
    <mergeCell ref="B7:D7"/>
  </mergeCells>
  <pageMargins left="0.75" right="0.75" top="1" bottom="1" header="0.511811023622047" footer="0.511811023622047"/>
  <pageSetup paperSize="9" orientation="portrait" horizontalDpi="300" verticalDpi="300"/>
  <headerFooter>
    <oddHeader>&amp;C&amp;"Aptos"&amp;10&amp;KFF0000 CONFIDENCIAL&amp;1#_x000D_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89"/>
  <sheetViews>
    <sheetView showGridLines="0" tabSelected="1" zoomScale="85" zoomScaleNormal="85" workbookViewId="0">
      <pane xSplit="1" ySplit="3" topLeftCell="B4" activePane="bottomRight" state="frozen"/>
      <selection pane="topRight" activeCell="B1" sqref="B1"/>
      <selection pane="bottomLeft" activeCell="A4" sqref="A4"/>
      <selection pane="bottomRight" activeCell="A39" sqref="A39"/>
    </sheetView>
  </sheetViews>
  <sheetFormatPr baseColWidth="10" defaultColWidth="8.6328125" defaultRowHeight="14.5" x14ac:dyDescent="0.35"/>
  <cols>
    <col min="1" max="1" width="62" customWidth="1"/>
    <col min="2" max="2" width="18" customWidth="1"/>
    <col min="3" max="4" width="30" customWidth="1"/>
    <col min="5" max="5" width="14" customWidth="1"/>
    <col min="6" max="6" width="8" customWidth="1"/>
    <col min="7" max="7" width="14" customWidth="1"/>
    <col min="8" max="8" width="8" customWidth="1"/>
    <col min="9" max="9" width="10" customWidth="1"/>
    <col min="10" max="10" width="16" customWidth="1"/>
    <col min="11" max="11" width="20" customWidth="1"/>
    <col min="12" max="12" width="34" customWidth="1"/>
    <col min="13" max="13" width="9" customWidth="1"/>
    <col min="14" max="14" width="16" customWidth="1"/>
    <col min="15" max="15" width="44" customWidth="1"/>
  </cols>
  <sheetData>
    <row r="1" spans="1:15" ht="31.5" customHeight="1" x14ac:dyDescent="0.35">
      <c r="A1" s="14" t="s">
        <v>76</v>
      </c>
      <c r="B1" s="14"/>
      <c r="C1" s="14"/>
      <c r="D1" s="14"/>
      <c r="E1" s="14"/>
      <c r="F1" s="14"/>
      <c r="G1" s="14"/>
      <c r="H1" s="14"/>
      <c r="I1" s="14"/>
      <c r="J1" s="14"/>
      <c r="K1" s="14"/>
      <c r="L1" s="14"/>
      <c r="M1" s="14"/>
      <c r="N1" s="14"/>
      <c r="O1" s="14"/>
    </row>
    <row r="2" spans="1:15" ht="18" customHeight="1" x14ac:dyDescent="0.35">
      <c r="A2" s="13" t="s">
        <v>455</v>
      </c>
      <c r="B2" s="13"/>
      <c r="C2" s="13"/>
      <c r="D2" s="13"/>
      <c r="E2" s="13"/>
      <c r="F2" s="13"/>
      <c r="G2" s="13"/>
      <c r="H2" s="13"/>
      <c r="I2" s="13"/>
      <c r="J2" s="13"/>
      <c r="K2" s="13"/>
      <c r="L2" s="13"/>
      <c r="M2" s="13"/>
      <c r="N2" s="13"/>
      <c r="O2" s="13"/>
    </row>
    <row r="3" spans="1:15" ht="39.75" customHeight="1" x14ac:dyDescent="0.35">
      <c r="A3" s="23" t="s">
        <v>77</v>
      </c>
      <c r="B3" s="23" t="s">
        <v>78</v>
      </c>
      <c r="C3" s="23" t="s">
        <v>79</v>
      </c>
      <c r="D3" s="23" t="s">
        <v>80</v>
      </c>
      <c r="E3" s="23" t="s">
        <v>81</v>
      </c>
      <c r="F3" s="23" t="s">
        <v>82</v>
      </c>
      <c r="G3" s="23" t="s">
        <v>83</v>
      </c>
      <c r="H3" s="23" t="s">
        <v>84</v>
      </c>
      <c r="I3" s="23" t="s">
        <v>85</v>
      </c>
      <c r="J3" s="23" t="s">
        <v>29</v>
      </c>
      <c r="K3" s="23" t="s">
        <v>86</v>
      </c>
      <c r="L3" s="23" t="s">
        <v>87</v>
      </c>
      <c r="M3" s="23" t="s">
        <v>88</v>
      </c>
      <c r="N3" s="23" t="s">
        <v>89</v>
      </c>
      <c r="O3" s="23" t="s">
        <v>90</v>
      </c>
    </row>
    <row r="4" spans="1:15" ht="103.5" customHeight="1" x14ac:dyDescent="0.35">
      <c r="A4" s="24" t="s">
        <v>435</v>
      </c>
      <c r="B4" s="25" t="s">
        <v>91</v>
      </c>
      <c r="C4" s="26" t="s">
        <v>92</v>
      </c>
      <c r="D4" s="27" t="s">
        <v>93</v>
      </c>
      <c r="E4" s="28" t="s">
        <v>8</v>
      </c>
      <c r="F4" s="28">
        <f>IFERROR(VLOOKUP(E4,Variables!$A$6:$E$10,5,0),"")</f>
        <v>4</v>
      </c>
      <c r="G4" s="28" t="s">
        <v>19</v>
      </c>
      <c r="H4" s="28">
        <f>IFERROR(VLOOKUP(G4,Variables!$A$14:$E$18,5,0),"")</f>
        <v>4</v>
      </c>
      <c r="I4" s="28" t="str">
        <f t="shared" ref="I4:I35" si="0">IF(B4="Oportunidad de Mejora","OM",IFERROR(CONCATENATE(F4,":",H4),""))</f>
        <v>4:4</v>
      </c>
      <c r="J4" s="28" t="str">
        <f>IFERROR(VLOOKUP(I4,Variables!$A$22:$B$47,2,FALSE()),"Por definir")</f>
        <v>CRÍTICO</v>
      </c>
      <c r="K4" s="26" t="s">
        <v>94</v>
      </c>
      <c r="L4" s="26" t="s">
        <v>95</v>
      </c>
      <c r="M4" s="28">
        <f t="shared" ref="M4:M35" si="1">IF(I4="OM","N/A",IFERROR(F4*H4,""))</f>
        <v>16</v>
      </c>
      <c r="N4" s="26" t="s">
        <v>96</v>
      </c>
      <c r="O4" s="26" t="str">
        <f>IFERROR(VLOOKUP(J4,Variables!$A$51:$B$55,2,FALSE()),"")</f>
        <v>Riesgo inaceptable. Acción inmediata (0-30 días). Reporte obligatorio a JD y Oficial de Cumplimiento.</v>
      </c>
    </row>
    <row r="5" spans="1:15" ht="64.5" hidden="1" customHeight="1" x14ac:dyDescent="0.35">
      <c r="A5" s="29" t="s">
        <v>97</v>
      </c>
      <c r="B5" s="30" t="s">
        <v>91</v>
      </c>
      <c r="C5" s="31" t="s">
        <v>98</v>
      </c>
      <c r="D5" s="32" t="s">
        <v>99</v>
      </c>
      <c r="E5" s="21" t="s">
        <v>10</v>
      </c>
      <c r="F5" s="21">
        <f>IFERROR(VLOOKUP(E5,Variables!$A$6:$E$10,5,0),"")</f>
        <v>3</v>
      </c>
      <c r="G5" s="21" t="s">
        <v>21</v>
      </c>
      <c r="H5" s="21">
        <f>IFERROR(VLOOKUP(G5,Variables!$A$14:$E$18,5,0),"")</f>
        <v>3</v>
      </c>
      <c r="I5" s="21" t="str">
        <f t="shared" si="0"/>
        <v>3:3</v>
      </c>
      <c r="J5" s="21" t="str">
        <f>IFERROR(VLOOKUP(I5,Variables!$A$22:$B$47,2,FALSE()),"Por definir")</f>
        <v>MEDIO-ALTO</v>
      </c>
      <c r="K5" s="31" t="s">
        <v>94</v>
      </c>
      <c r="L5" s="31" t="s">
        <v>100</v>
      </c>
      <c r="M5" s="21">
        <f t="shared" si="1"/>
        <v>9</v>
      </c>
      <c r="N5" s="31" t="s">
        <v>101</v>
      </c>
      <c r="O5" s="31" t="str">
        <f>IFERROR(VLOOKUP(J5,Variables!$A$51:$B$55,2,FALSE()),"")</f>
        <v>Riesgo significativo. Requiere plan de acción formal (30-60 días). Monitoreo mensual.</v>
      </c>
    </row>
    <row r="6" spans="1:15" ht="129.75" hidden="1" customHeight="1" x14ac:dyDescent="0.35">
      <c r="A6" s="24" t="s">
        <v>436</v>
      </c>
      <c r="B6" s="25" t="s">
        <v>91</v>
      </c>
      <c r="C6" s="26" t="s">
        <v>102</v>
      </c>
      <c r="D6" s="27" t="s">
        <v>103</v>
      </c>
      <c r="E6" s="28" t="s">
        <v>8</v>
      </c>
      <c r="F6" s="28">
        <f>IFERROR(VLOOKUP(E6,Variables!$A$6:$E$10,5,0),"")</f>
        <v>4</v>
      </c>
      <c r="G6" s="28" t="s">
        <v>21</v>
      </c>
      <c r="H6" s="28">
        <f>IFERROR(VLOOKUP(G6,Variables!$A$14:$E$18,5,0),"")</f>
        <v>3</v>
      </c>
      <c r="I6" s="28" t="str">
        <f t="shared" si="0"/>
        <v>4:3</v>
      </c>
      <c r="J6" s="28" t="str">
        <f>IFERROR(VLOOKUP(I6,Variables!$A$22:$B$47,2,FALSE()),"Por definir")</f>
        <v>MEDIO-ALTO</v>
      </c>
      <c r="K6" s="26" t="s">
        <v>94</v>
      </c>
      <c r="L6" s="26" t="s">
        <v>104</v>
      </c>
      <c r="M6" s="28">
        <f t="shared" si="1"/>
        <v>12</v>
      </c>
      <c r="N6" s="26" t="s">
        <v>105</v>
      </c>
      <c r="O6" s="26" t="str">
        <f>IFERROR(VLOOKUP(J6,Variables!$A$51:$B$55,2,FALSE()),"")</f>
        <v>Riesgo significativo. Requiere plan de acción formal (30-60 días). Monitoreo mensual.</v>
      </c>
    </row>
    <row r="7" spans="1:15" ht="103.5" hidden="1" customHeight="1" x14ac:dyDescent="0.35">
      <c r="A7" s="29" t="s">
        <v>437</v>
      </c>
      <c r="B7" s="30" t="s">
        <v>91</v>
      </c>
      <c r="C7" s="31" t="s">
        <v>106</v>
      </c>
      <c r="D7" s="32" t="s">
        <v>107</v>
      </c>
      <c r="E7" s="21" t="s">
        <v>10</v>
      </c>
      <c r="F7" s="21">
        <f>IFERROR(VLOOKUP(E7,Variables!$A$6:$E$10,5,0),"")</f>
        <v>3</v>
      </c>
      <c r="G7" s="21" t="s">
        <v>21</v>
      </c>
      <c r="H7" s="21">
        <f>IFERROR(VLOOKUP(G7,Variables!$A$14:$E$18,5,0),"")</f>
        <v>3</v>
      </c>
      <c r="I7" s="21" t="str">
        <f t="shared" si="0"/>
        <v>3:3</v>
      </c>
      <c r="J7" s="21" t="str">
        <f>IFERROR(VLOOKUP(I7,Variables!$A$22:$B$47,2,FALSE()),"Por definir")</f>
        <v>MEDIO-ALTO</v>
      </c>
      <c r="K7" s="31" t="s">
        <v>94</v>
      </c>
      <c r="L7" s="31" t="s">
        <v>108</v>
      </c>
      <c r="M7" s="21">
        <f t="shared" si="1"/>
        <v>9</v>
      </c>
      <c r="N7" s="31" t="s">
        <v>109</v>
      </c>
      <c r="O7" s="31" t="str">
        <f>IFERROR(VLOOKUP(J7,Variables!$A$51:$B$55,2,FALSE()),"")</f>
        <v>Riesgo significativo. Requiere plan de acción formal (30-60 días). Monitoreo mensual.</v>
      </c>
    </row>
    <row r="8" spans="1:15" ht="129.75" hidden="1" customHeight="1" x14ac:dyDescent="0.35">
      <c r="A8" s="24" t="s">
        <v>110</v>
      </c>
      <c r="B8" s="25" t="s">
        <v>91</v>
      </c>
      <c r="C8" s="26" t="s">
        <v>111</v>
      </c>
      <c r="D8" s="27" t="s">
        <v>112</v>
      </c>
      <c r="E8" s="28" t="s">
        <v>10</v>
      </c>
      <c r="F8" s="28">
        <f>IFERROR(VLOOKUP(E8,Variables!$A$6:$E$10,5,0),"")</f>
        <v>3</v>
      </c>
      <c r="G8" s="28" t="s">
        <v>21</v>
      </c>
      <c r="H8" s="28">
        <f>IFERROR(VLOOKUP(G8,Variables!$A$14:$E$18,5,0),"")</f>
        <v>3</v>
      </c>
      <c r="I8" s="28" t="str">
        <f t="shared" si="0"/>
        <v>3:3</v>
      </c>
      <c r="J8" s="28" t="str">
        <f>IFERROR(VLOOKUP(I8,Variables!$A$22:$B$47,2,FALSE()),"Por definir")</f>
        <v>MEDIO-ALTO</v>
      </c>
      <c r="K8" s="26" t="s">
        <v>94</v>
      </c>
      <c r="L8" s="26" t="s">
        <v>113</v>
      </c>
      <c r="M8" s="28">
        <f t="shared" si="1"/>
        <v>9</v>
      </c>
      <c r="N8" s="26" t="s">
        <v>114</v>
      </c>
      <c r="O8" s="26" t="str">
        <f>IFERROR(VLOOKUP(J8,Variables!$A$51:$B$55,2,FALSE()),"")</f>
        <v>Riesgo significativo. Requiere plan de acción formal (30-60 días). Monitoreo mensual.</v>
      </c>
    </row>
    <row r="9" spans="1:15" ht="103.5" hidden="1" customHeight="1" x14ac:dyDescent="0.35">
      <c r="A9" s="29" t="s">
        <v>438</v>
      </c>
      <c r="B9" s="30" t="s">
        <v>91</v>
      </c>
      <c r="C9" s="31" t="s">
        <v>115</v>
      </c>
      <c r="D9" s="32" t="s">
        <v>116</v>
      </c>
      <c r="E9" s="21" t="s">
        <v>10</v>
      </c>
      <c r="F9" s="21">
        <f>IFERROR(VLOOKUP(E9,Variables!$A$6:$E$10,5,0),"")</f>
        <v>3</v>
      </c>
      <c r="G9" s="21" t="s">
        <v>23</v>
      </c>
      <c r="H9" s="21">
        <f>IFERROR(VLOOKUP(G9,Variables!$A$14:$E$18,5,0),"")</f>
        <v>2</v>
      </c>
      <c r="I9" s="21" t="str">
        <f t="shared" si="0"/>
        <v>3:2</v>
      </c>
      <c r="J9" s="21" t="str">
        <f>IFERROR(VLOOKUP(I9,Variables!$A$22:$B$47,2,FALSE()),"Por definir")</f>
        <v>MEDIO</v>
      </c>
      <c r="K9" s="31" t="s">
        <v>94</v>
      </c>
      <c r="L9" s="31" t="s">
        <v>117</v>
      </c>
      <c r="M9" s="21">
        <f t="shared" si="1"/>
        <v>6</v>
      </c>
      <c r="N9" s="31" t="s">
        <v>118</v>
      </c>
      <c r="O9" s="31" t="str">
        <f>IFERROR(VLOOKUP(J9,Variables!$A$51:$B$55,2,FALSE()),"")</f>
        <v>Riesgo manejable. Requiere medidas correctivas (60-90 días). Monitoreo trimestral.</v>
      </c>
    </row>
    <row r="10" spans="1:15" ht="103.5" hidden="1" customHeight="1" x14ac:dyDescent="0.35">
      <c r="A10" s="24" t="s">
        <v>439</v>
      </c>
      <c r="B10" s="25" t="s">
        <v>91</v>
      </c>
      <c r="C10" s="26" t="s">
        <v>119</v>
      </c>
      <c r="D10" s="27" t="s">
        <v>120</v>
      </c>
      <c r="E10" s="28" t="s">
        <v>12</v>
      </c>
      <c r="F10" s="28">
        <f>IFERROR(VLOOKUP(E10,Variables!$A$6:$E$10,5,0),"")</f>
        <v>2</v>
      </c>
      <c r="G10" s="28" t="s">
        <v>21</v>
      </c>
      <c r="H10" s="28">
        <f>IFERROR(VLOOKUP(G10,Variables!$A$14:$E$18,5,0),"")</f>
        <v>3</v>
      </c>
      <c r="I10" s="28" t="str">
        <f t="shared" si="0"/>
        <v>2:3</v>
      </c>
      <c r="J10" s="28" t="str">
        <f>IFERROR(VLOOKUP(I10,Variables!$A$22:$B$47,2,FALSE()),"Por definir")</f>
        <v>MEDIO</v>
      </c>
      <c r="K10" s="26" t="s">
        <v>94</v>
      </c>
      <c r="L10" s="26" t="s">
        <v>121</v>
      </c>
      <c r="M10" s="28">
        <f t="shared" si="1"/>
        <v>6</v>
      </c>
      <c r="N10" s="26" t="s">
        <v>122</v>
      </c>
      <c r="O10" s="26" t="str">
        <f>IFERROR(VLOOKUP(J10,Variables!$A$51:$B$55,2,FALSE()),"")</f>
        <v>Riesgo manejable. Requiere medidas correctivas (60-90 días). Monitoreo trimestral.</v>
      </c>
    </row>
    <row r="11" spans="1:15" ht="60" hidden="1" customHeight="1" x14ac:dyDescent="0.35">
      <c r="A11" s="29" t="s">
        <v>123</v>
      </c>
      <c r="B11" s="30" t="s">
        <v>91</v>
      </c>
      <c r="C11" s="31" t="s">
        <v>124</v>
      </c>
      <c r="D11" s="32" t="s">
        <v>125</v>
      </c>
      <c r="E11" s="21" t="s">
        <v>12</v>
      </c>
      <c r="F11" s="21">
        <f>IFERROR(VLOOKUP(E11,Variables!$A$6:$E$10,5,0),"")</f>
        <v>2</v>
      </c>
      <c r="G11" s="21" t="s">
        <v>21</v>
      </c>
      <c r="H11" s="21">
        <f>IFERROR(VLOOKUP(G11,Variables!$A$14:$E$18,5,0),"")</f>
        <v>3</v>
      </c>
      <c r="I11" s="21" t="str">
        <f t="shared" si="0"/>
        <v>2:3</v>
      </c>
      <c r="J11" s="21" t="str">
        <f>IFERROR(VLOOKUP(I11,Variables!$A$22:$B$47,2,FALSE()),"Por definir")</f>
        <v>MEDIO</v>
      </c>
      <c r="K11" s="31" t="s">
        <v>94</v>
      </c>
      <c r="L11" s="31" t="s">
        <v>126</v>
      </c>
      <c r="M11" s="21">
        <f t="shared" si="1"/>
        <v>6</v>
      </c>
      <c r="N11" s="31" t="s">
        <v>127</v>
      </c>
      <c r="O11" s="31" t="str">
        <f>IFERROR(VLOOKUP(J11,Variables!$A$51:$B$55,2,FALSE()),"")</f>
        <v>Riesgo manejable. Requiere medidas correctivas (60-90 días). Monitoreo trimestral.</v>
      </c>
    </row>
    <row r="12" spans="1:15" ht="64.5" hidden="1" customHeight="1" x14ac:dyDescent="0.35">
      <c r="A12" s="24" t="s">
        <v>440</v>
      </c>
      <c r="B12" s="25" t="s">
        <v>91</v>
      </c>
      <c r="C12" s="26" t="s">
        <v>128</v>
      </c>
      <c r="D12" s="27" t="s">
        <v>129</v>
      </c>
      <c r="E12" s="28" t="s">
        <v>10</v>
      </c>
      <c r="F12" s="28">
        <f>IFERROR(VLOOKUP(E12,Variables!$A$6:$E$10,5,0),"")</f>
        <v>3</v>
      </c>
      <c r="G12" s="28" t="s">
        <v>23</v>
      </c>
      <c r="H12" s="28">
        <f>IFERROR(VLOOKUP(G12,Variables!$A$14:$E$18,5,0),"")</f>
        <v>2</v>
      </c>
      <c r="I12" s="28" t="str">
        <f t="shared" si="0"/>
        <v>3:2</v>
      </c>
      <c r="J12" s="28" t="str">
        <f>IFERROR(VLOOKUP(I12,Variables!$A$22:$B$47,2,FALSE()),"Por definir")</f>
        <v>MEDIO</v>
      </c>
      <c r="K12" s="26" t="s">
        <v>94</v>
      </c>
      <c r="L12" s="26" t="s">
        <v>130</v>
      </c>
      <c r="M12" s="28">
        <f t="shared" si="1"/>
        <v>6</v>
      </c>
      <c r="N12" s="26" t="s">
        <v>127</v>
      </c>
      <c r="O12" s="26" t="str">
        <f>IFERROR(VLOOKUP(J12,Variables!$A$51:$B$55,2,FALSE()),"")</f>
        <v>Riesgo manejable. Requiere medidas correctivas (60-90 días). Monitoreo trimestral.</v>
      </c>
    </row>
    <row r="13" spans="1:15" ht="78" hidden="1" customHeight="1" x14ac:dyDescent="0.35">
      <c r="A13" s="29" t="s">
        <v>131</v>
      </c>
      <c r="B13" s="30" t="s">
        <v>91</v>
      </c>
      <c r="C13" s="31" t="s">
        <v>132</v>
      </c>
      <c r="D13" s="32" t="s">
        <v>133</v>
      </c>
      <c r="E13" s="21" t="s">
        <v>12</v>
      </c>
      <c r="F13" s="21">
        <f>IFERROR(VLOOKUP(E13,Variables!$A$6:$E$10,5,0),"")</f>
        <v>2</v>
      </c>
      <c r="G13" s="21" t="s">
        <v>21</v>
      </c>
      <c r="H13" s="21">
        <f>IFERROR(VLOOKUP(G13,Variables!$A$14:$E$18,5,0),"")</f>
        <v>3</v>
      </c>
      <c r="I13" s="21" t="str">
        <f t="shared" si="0"/>
        <v>2:3</v>
      </c>
      <c r="J13" s="21" t="str">
        <f>IFERROR(VLOOKUP(I13,Variables!$A$22:$B$47,2,FALSE()),"Por definir")</f>
        <v>MEDIO</v>
      </c>
      <c r="K13" s="31" t="s">
        <v>94</v>
      </c>
      <c r="L13" s="31" t="s">
        <v>134</v>
      </c>
      <c r="M13" s="21">
        <f t="shared" si="1"/>
        <v>6</v>
      </c>
      <c r="N13" s="31" t="s">
        <v>96</v>
      </c>
      <c r="O13" s="31" t="str">
        <f>IFERROR(VLOOKUP(J13,Variables!$A$51:$B$55,2,FALSE()),"")</f>
        <v>Riesgo manejable. Requiere medidas correctivas (60-90 días). Monitoreo trimestral.</v>
      </c>
    </row>
    <row r="14" spans="1:15" ht="103.5" hidden="1" customHeight="1" x14ac:dyDescent="0.35">
      <c r="A14" s="24" t="s">
        <v>135</v>
      </c>
      <c r="B14" s="25" t="s">
        <v>91</v>
      </c>
      <c r="C14" s="26" t="s">
        <v>136</v>
      </c>
      <c r="D14" s="27" t="s">
        <v>137</v>
      </c>
      <c r="E14" s="28" t="s">
        <v>10</v>
      </c>
      <c r="F14" s="28">
        <f>IFERROR(VLOOKUP(E14,Variables!$A$6:$E$10,5,0),"")</f>
        <v>3</v>
      </c>
      <c r="G14" s="28" t="s">
        <v>21</v>
      </c>
      <c r="H14" s="28">
        <f>IFERROR(VLOOKUP(G14,Variables!$A$14:$E$18,5,0),"")</f>
        <v>3</v>
      </c>
      <c r="I14" s="28" t="str">
        <f t="shared" si="0"/>
        <v>3:3</v>
      </c>
      <c r="J14" s="28" t="str">
        <f>IFERROR(VLOOKUP(I14,Variables!$A$22:$B$47,2,FALSE()),"Por definir")</f>
        <v>MEDIO-ALTO</v>
      </c>
      <c r="K14" s="26" t="s">
        <v>94</v>
      </c>
      <c r="L14" s="26" t="s">
        <v>138</v>
      </c>
      <c r="M14" s="28">
        <f t="shared" si="1"/>
        <v>9</v>
      </c>
      <c r="N14" s="26" t="s">
        <v>139</v>
      </c>
      <c r="O14" s="26" t="str">
        <f>IFERROR(VLOOKUP(J14,Variables!$A$51:$B$55,2,FALSE()),"")</f>
        <v>Riesgo significativo. Requiere plan de acción formal (30-60 días). Monitoreo mensual.</v>
      </c>
    </row>
    <row r="15" spans="1:15" ht="103.5" hidden="1" customHeight="1" x14ac:dyDescent="0.35">
      <c r="A15" s="29" t="s">
        <v>140</v>
      </c>
      <c r="B15" s="30" t="s">
        <v>91</v>
      </c>
      <c r="C15" s="31" t="s">
        <v>141</v>
      </c>
      <c r="D15" s="32" t="s">
        <v>142</v>
      </c>
      <c r="E15" s="21" t="s">
        <v>12</v>
      </c>
      <c r="F15" s="21">
        <f>IFERROR(VLOOKUP(E15,Variables!$A$6:$E$10,5,0),"")</f>
        <v>2</v>
      </c>
      <c r="G15" s="21" t="s">
        <v>21</v>
      </c>
      <c r="H15" s="21">
        <f>IFERROR(VLOOKUP(G15,Variables!$A$14:$E$18,5,0),"")</f>
        <v>3</v>
      </c>
      <c r="I15" s="21" t="str">
        <f t="shared" si="0"/>
        <v>2:3</v>
      </c>
      <c r="J15" s="21" t="str">
        <f>IFERROR(VLOOKUP(I15,Variables!$A$22:$B$47,2,FALSE()),"Por definir")</f>
        <v>MEDIO</v>
      </c>
      <c r="K15" s="31" t="s">
        <v>143</v>
      </c>
      <c r="L15" s="31" t="s">
        <v>144</v>
      </c>
      <c r="M15" s="21">
        <f t="shared" si="1"/>
        <v>6</v>
      </c>
      <c r="N15" s="31" t="s">
        <v>145</v>
      </c>
      <c r="O15" s="31" t="str">
        <f>IFERROR(VLOOKUP(J15,Variables!$A$51:$B$55,2,FALSE()),"")</f>
        <v>Riesgo manejable. Requiere medidas correctivas (60-90 días). Monitoreo trimestral.</v>
      </c>
    </row>
    <row r="16" spans="1:15" ht="90.75" hidden="1" customHeight="1" x14ac:dyDescent="0.35">
      <c r="A16" s="24" t="s">
        <v>146</v>
      </c>
      <c r="B16" s="25" t="s">
        <v>91</v>
      </c>
      <c r="C16" s="26" t="s">
        <v>147</v>
      </c>
      <c r="D16" s="27" t="s">
        <v>116</v>
      </c>
      <c r="E16" s="28" t="s">
        <v>10</v>
      </c>
      <c r="F16" s="28">
        <f>IFERROR(VLOOKUP(E16,Variables!$A$6:$E$10,5,0),"")</f>
        <v>3</v>
      </c>
      <c r="G16" s="28" t="s">
        <v>23</v>
      </c>
      <c r="H16" s="28">
        <f>IFERROR(VLOOKUP(G16,Variables!$A$14:$E$18,5,0),"")</f>
        <v>2</v>
      </c>
      <c r="I16" s="28" t="str">
        <f t="shared" si="0"/>
        <v>3:2</v>
      </c>
      <c r="J16" s="28" t="str">
        <f>IFERROR(VLOOKUP(I16,Variables!$A$22:$B$47,2,FALSE()),"Por definir")</f>
        <v>MEDIO</v>
      </c>
      <c r="K16" s="26" t="s">
        <v>143</v>
      </c>
      <c r="L16" s="26" t="s">
        <v>148</v>
      </c>
      <c r="M16" s="28">
        <f t="shared" si="1"/>
        <v>6</v>
      </c>
      <c r="N16" s="26" t="s">
        <v>118</v>
      </c>
      <c r="O16" s="26" t="str">
        <f>IFERROR(VLOOKUP(J16,Variables!$A$51:$B$55,2,FALSE()),"")</f>
        <v>Riesgo manejable. Requiere medidas correctivas (60-90 días). Monitoreo trimestral.</v>
      </c>
    </row>
    <row r="17" spans="1:15" ht="78" hidden="1" customHeight="1" x14ac:dyDescent="0.35">
      <c r="A17" s="29" t="s">
        <v>149</v>
      </c>
      <c r="B17" s="30" t="s">
        <v>91</v>
      </c>
      <c r="C17" s="31" t="s">
        <v>150</v>
      </c>
      <c r="D17" s="32" t="s">
        <v>116</v>
      </c>
      <c r="E17" s="21" t="s">
        <v>10</v>
      </c>
      <c r="F17" s="21">
        <f>IFERROR(VLOOKUP(E17,Variables!$A$6:$E$10,5,0),"")</f>
        <v>3</v>
      </c>
      <c r="G17" s="21" t="s">
        <v>23</v>
      </c>
      <c r="H17" s="21">
        <f>IFERROR(VLOOKUP(G17,Variables!$A$14:$E$18,5,0),"")</f>
        <v>2</v>
      </c>
      <c r="I17" s="21" t="str">
        <f t="shared" si="0"/>
        <v>3:2</v>
      </c>
      <c r="J17" s="21" t="str">
        <f>IFERROR(VLOOKUP(I17,Variables!$A$22:$B$47,2,FALSE()),"Por definir")</f>
        <v>MEDIO</v>
      </c>
      <c r="K17" s="31" t="s">
        <v>143</v>
      </c>
      <c r="L17" s="31" t="s">
        <v>151</v>
      </c>
      <c r="M17" s="21">
        <f t="shared" si="1"/>
        <v>6</v>
      </c>
      <c r="N17" s="31" t="s">
        <v>152</v>
      </c>
      <c r="O17" s="31" t="str">
        <f>IFERROR(VLOOKUP(J17,Variables!$A$51:$B$55,2,FALSE()),"")</f>
        <v>Riesgo manejable. Requiere medidas correctivas (60-90 días). Monitoreo trimestral.</v>
      </c>
    </row>
    <row r="18" spans="1:15" ht="90.75" hidden="1" customHeight="1" x14ac:dyDescent="0.35">
      <c r="A18" s="24" t="s">
        <v>441</v>
      </c>
      <c r="B18" s="25" t="s">
        <v>91</v>
      </c>
      <c r="C18" s="26" t="s">
        <v>153</v>
      </c>
      <c r="D18" s="27" t="s">
        <v>154</v>
      </c>
      <c r="E18" s="28" t="s">
        <v>10</v>
      </c>
      <c r="F18" s="28">
        <f>IFERROR(VLOOKUP(E18,Variables!$A$6:$E$10,5,0),"")</f>
        <v>3</v>
      </c>
      <c r="G18" s="28" t="s">
        <v>21</v>
      </c>
      <c r="H18" s="28">
        <f>IFERROR(VLOOKUP(G18,Variables!$A$14:$E$18,5,0),"")</f>
        <v>3</v>
      </c>
      <c r="I18" s="28" t="str">
        <f t="shared" si="0"/>
        <v>3:3</v>
      </c>
      <c r="J18" s="28" t="str">
        <f>IFERROR(VLOOKUP(I18,Variables!$A$22:$B$47,2,FALSE()),"Por definir")</f>
        <v>MEDIO-ALTO</v>
      </c>
      <c r="K18" s="26" t="s">
        <v>143</v>
      </c>
      <c r="L18" s="26" t="s">
        <v>155</v>
      </c>
      <c r="M18" s="28">
        <f t="shared" si="1"/>
        <v>9</v>
      </c>
      <c r="N18" s="26" t="s">
        <v>152</v>
      </c>
      <c r="O18" s="26" t="str">
        <f>IFERROR(VLOOKUP(J18,Variables!$A$51:$B$55,2,FALSE()),"")</f>
        <v>Riesgo significativo. Requiere plan de acción formal (30-60 días). Monitoreo mensual.</v>
      </c>
    </row>
    <row r="19" spans="1:15" ht="90.75" hidden="1" customHeight="1" x14ac:dyDescent="0.35">
      <c r="A19" s="29" t="s">
        <v>156</v>
      </c>
      <c r="B19" s="30" t="s">
        <v>91</v>
      </c>
      <c r="C19" s="31" t="s">
        <v>157</v>
      </c>
      <c r="D19" s="32" t="s">
        <v>158</v>
      </c>
      <c r="E19" s="21" t="s">
        <v>12</v>
      </c>
      <c r="F19" s="21">
        <f>IFERROR(VLOOKUP(E19,Variables!$A$6:$E$10,5,0),"")</f>
        <v>2</v>
      </c>
      <c r="G19" s="21" t="s">
        <v>21</v>
      </c>
      <c r="H19" s="21">
        <f>IFERROR(VLOOKUP(G19,Variables!$A$14:$E$18,5,0),"")</f>
        <v>3</v>
      </c>
      <c r="I19" s="21" t="str">
        <f t="shared" si="0"/>
        <v>2:3</v>
      </c>
      <c r="J19" s="21" t="str">
        <f>IFERROR(VLOOKUP(I19,Variables!$A$22:$B$47,2,FALSE()),"Por definir")</f>
        <v>MEDIO</v>
      </c>
      <c r="K19" s="31" t="s">
        <v>143</v>
      </c>
      <c r="L19" s="31" t="s">
        <v>159</v>
      </c>
      <c r="M19" s="21">
        <f t="shared" si="1"/>
        <v>6</v>
      </c>
      <c r="N19" s="31" t="s">
        <v>160</v>
      </c>
      <c r="O19" s="31" t="str">
        <f>IFERROR(VLOOKUP(J19,Variables!$A$51:$B$55,2,FALSE()),"")</f>
        <v>Riesgo manejable. Requiere medidas correctivas (60-90 días). Monitoreo trimestral.</v>
      </c>
    </row>
    <row r="20" spans="1:15" ht="64.5" hidden="1" customHeight="1" x14ac:dyDescent="0.35">
      <c r="A20" s="24" t="s">
        <v>161</v>
      </c>
      <c r="B20" s="25" t="s">
        <v>91</v>
      </c>
      <c r="C20" s="26" t="s">
        <v>162</v>
      </c>
      <c r="D20" s="27" t="s">
        <v>163</v>
      </c>
      <c r="E20" s="28" t="s">
        <v>10</v>
      </c>
      <c r="F20" s="28">
        <f>IFERROR(VLOOKUP(E20,Variables!$A$6:$E$10,5,0),"")</f>
        <v>3</v>
      </c>
      <c r="G20" s="28" t="s">
        <v>23</v>
      </c>
      <c r="H20" s="28">
        <f>IFERROR(VLOOKUP(G20,Variables!$A$14:$E$18,5,0),"")</f>
        <v>2</v>
      </c>
      <c r="I20" s="28" t="str">
        <f t="shared" si="0"/>
        <v>3:2</v>
      </c>
      <c r="J20" s="28" t="str">
        <f>IFERROR(VLOOKUP(I20,Variables!$A$22:$B$47,2,FALSE()),"Por definir")</f>
        <v>MEDIO</v>
      </c>
      <c r="K20" s="26" t="s">
        <v>143</v>
      </c>
      <c r="L20" s="26" t="s">
        <v>164</v>
      </c>
      <c r="M20" s="28">
        <f t="shared" si="1"/>
        <v>6</v>
      </c>
      <c r="N20" s="26" t="s">
        <v>152</v>
      </c>
      <c r="O20" s="26" t="str">
        <f>IFERROR(VLOOKUP(J20,Variables!$A$51:$B$55,2,FALSE()),"")</f>
        <v>Riesgo manejable. Requiere medidas correctivas (60-90 días). Monitoreo trimestral.</v>
      </c>
    </row>
    <row r="21" spans="1:15" ht="64.5" hidden="1" customHeight="1" x14ac:dyDescent="0.35">
      <c r="A21" s="29" t="s">
        <v>442</v>
      </c>
      <c r="B21" s="30" t="s">
        <v>91</v>
      </c>
      <c r="C21" s="31" t="s">
        <v>165</v>
      </c>
      <c r="D21" s="32" t="s">
        <v>116</v>
      </c>
      <c r="E21" s="21" t="s">
        <v>10</v>
      </c>
      <c r="F21" s="21">
        <f>IFERROR(VLOOKUP(E21,Variables!$A$6:$E$10,5,0),"")</f>
        <v>3</v>
      </c>
      <c r="G21" s="21" t="s">
        <v>21</v>
      </c>
      <c r="H21" s="21">
        <f>IFERROR(VLOOKUP(G21,Variables!$A$14:$E$18,5,0),"")</f>
        <v>3</v>
      </c>
      <c r="I21" s="21" t="str">
        <f t="shared" si="0"/>
        <v>3:3</v>
      </c>
      <c r="J21" s="21" t="str">
        <f>IFERROR(VLOOKUP(I21,Variables!$A$22:$B$47,2,FALSE()),"Por definir")</f>
        <v>MEDIO-ALTO</v>
      </c>
      <c r="K21" s="31" t="s">
        <v>143</v>
      </c>
      <c r="L21" s="31" t="s">
        <v>166</v>
      </c>
      <c r="M21" s="21">
        <f t="shared" si="1"/>
        <v>9</v>
      </c>
      <c r="N21" s="31" t="s">
        <v>167</v>
      </c>
      <c r="O21" s="31" t="str">
        <f>IFERROR(VLOOKUP(J21,Variables!$A$51:$B$55,2,FALSE()),"")</f>
        <v>Riesgo significativo. Requiere plan de acción formal (30-60 días). Monitoreo mensual.</v>
      </c>
    </row>
    <row r="22" spans="1:15" ht="60" hidden="1" customHeight="1" x14ac:dyDescent="0.35">
      <c r="A22" s="24" t="s">
        <v>168</v>
      </c>
      <c r="B22" s="25" t="s">
        <v>91</v>
      </c>
      <c r="C22" s="26" t="s">
        <v>169</v>
      </c>
      <c r="D22" s="27" t="s">
        <v>116</v>
      </c>
      <c r="E22" s="28" t="s">
        <v>12</v>
      </c>
      <c r="F22" s="28">
        <f>IFERROR(VLOOKUP(E22,Variables!$A$6:$E$10,5,0),"")</f>
        <v>2</v>
      </c>
      <c r="G22" s="28" t="s">
        <v>23</v>
      </c>
      <c r="H22" s="28">
        <f>IFERROR(VLOOKUP(G22,Variables!$A$14:$E$18,5,0),"")</f>
        <v>2</v>
      </c>
      <c r="I22" s="28" t="str">
        <f t="shared" si="0"/>
        <v>2:2</v>
      </c>
      <c r="J22" s="28" t="str">
        <f>IFERROR(VLOOKUP(I22,Variables!$A$22:$B$47,2,FALSE()),"Por definir")</f>
        <v>MEDIO</v>
      </c>
      <c r="K22" s="26" t="s">
        <v>143</v>
      </c>
      <c r="L22" s="26" t="s">
        <v>170</v>
      </c>
      <c r="M22" s="28">
        <f t="shared" si="1"/>
        <v>4</v>
      </c>
      <c r="N22" s="26" t="s">
        <v>152</v>
      </c>
      <c r="O22" s="26" t="str">
        <f>IFERROR(VLOOKUP(J22,Variables!$A$51:$B$55,2,FALSE()),"")</f>
        <v>Riesgo manejable. Requiere medidas correctivas (60-90 días). Monitoreo trimestral.</v>
      </c>
    </row>
    <row r="23" spans="1:15" ht="64.5" hidden="1" customHeight="1" x14ac:dyDescent="0.35">
      <c r="A23" s="29" t="s">
        <v>171</v>
      </c>
      <c r="B23" s="30" t="s">
        <v>91</v>
      </c>
      <c r="C23" s="31" t="s">
        <v>172</v>
      </c>
      <c r="D23" s="32" t="s">
        <v>129</v>
      </c>
      <c r="E23" s="21" t="s">
        <v>14</v>
      </c>
      <c r="F23" s="21">
        <f>IFERROR(VLOOKUP(E23,Variables!$A$6:$E$10,5,0),"")</f>
        <v>1</v>
      </c>
      <c r="G23" s="21" t="s">
        <v>23</v>
      </c>
      <c r="H23" s="21">
        <f>IFERROR(VLOOKUP(G23,Variables!$A$14:$E$18,5,0),"")</f>
        <v>2</v>
      </c>
      <c r="I23" s="21" t="str">
        <f t="shared" si="0"/>
        <v>1:2</v>
      </c>
      <c r="J23" s="21" t="str">
        <f>IFERROR(VLOOKUP(I23,Variables!$A$22:$B$47,2,FALSE()),"Por definir")</f>
        <v>BAJO</v>
      </c>
      <c r="K23" s="31" t="s">
        <v>143</v>
      </c>
      <c r="L23" s="31" t="s">
        <v>173</v>
      </c>
      <c r="M23" s="21">
        <f t="shared" si="1"/>
        <v>2</v>
      </c>
      <c r="N23" s="31" t="s">
        <v>152</v>
      </c>
      <c r="O23" s="31" t="str">
        <f>IFERROR(VLOOKUP(J23,Variables!$A$51:$B$55,2,FALSE()),"")</f>
        <v>Riesgo aceptable. Controles mínimos son suficientes. Monitoreo semestral.</v>
      </c>
    </row>
    <row r="24" spans="1:15" ht="64.5" hidden="1" customHeight="1" x14ac:dyDescent="0.35">
      <c r="A24" s="24" t="s">
        <v>174</v>
      </c>
      <c r="B24" s="25" t="s">
        <v>91</v>
      </c>
      <c r="C24" s="26" t="s">
        <v>175</v>
      </c>
      <c r="D24" s="27" t="s">
        <v>176</v>
      </c>
      <c r="E24" s="28" t="s">
        <v>12</v>
      </c>
      <c r="F24" s="28">
        <f>IFERROR(VLOOKUP(E24,Variables!$A$6:$E$10,5,0),"")</f>
        <v>2</v>
      </c>
      <c r="G24" s="28" t="s">
        <v>21</v>
      </c>
      <c r="H24" s="28">
        <f>IFERROR(VLOOKUP(G24,Variables!$A$14:$E$18,5,0),"")</f>
        <v>3</v>
      </c>
      <c r="I24" s="28" t="str">
        <f t="shared" si="0"/>
        <v>2:3</v>
      </c>
      <c r="J24" s="28" t="str">
        <f>IFERROR(VLOOKUP(I24,Variables!$A$22:$B$47,2,FALSE()),"Por definir")</f>
        <v>MEDIO</v>
      </c>
      <c r="K24" s="26" t="s">
        <v>143</v>
      </c>
      <c r="L24" s="26" t="s">
        <v>177</v>
      </c>
      <c r="M24" s="28">
        <f t="shared" si="1"/>
        <v>6</v>
      </c>
      <c r="N24" s="26" t="s">
        <v>152</v>
      </c>
      <c r="O24" s="26" t="str">
        <f>IFERROR(VLOOKUP(J24,Variables!$A$51:$B$55,2,FALSE()),"")</f>
        <v>Riesgo manejable. Requiere medidas correctivas (60-90 días). Monitoreo trimestral.</v>
      </c>
    </row>
    <row r="25" spans="1:15" ht="90.75" hidden="1" customHeight="1" x14ac:dyDescent="0.35">
      <c r="A25" s="29" t="s">
        <v>443</v>
      </c>
      <c r="B25" s="30" t="s">
        <v>91</v>
      </c>
      <c r="C25" s="31" t="s">
        <v>178</v>
      </c>
      <c r="D25" s="32" t="s">
        <v>179</v>
      </c>
      <c r="E25" s="21" t="s">
        <v>10</v>
      </c>
      <c r="F25" s="21">
        <f>IFERROR(VLOOKUP(E25,Variables!$A$6:$E$10,5,0),"")</f>
        <v>3</v>
      </c>
      <c r="G25" s="21" t="s">
        <v>23</v>
      </c>
      <c r="H25" s="21">
        <f>IFERROR(VLOOKUP(G25,Variables!$A$14:$E$18,5,0),"")</f>
        <v>2</v>
      </c>
      <c r="I25" s="21" t="str">
        <f t="shared" si="0"/>
        <v>3:2</v>
      </c>
      <c r="J25" s="21" t="str">
        <f>IFERROR(VLOOKUP(I25,Variables!$A$22:$B$47,2,FALSE()),"Por definir")</f>
        <v>MEDIO</v>
      </c>
      <c r="K25" s="31" t="s">
        <v>180</v>
      </c>
      <c r="L25" s="31" t="s">
        <v>181</v>
      </c>
      <c r="M25" s="21">
        <f t="shared" si="1"/>
        <v>6</v>
      </c>
      <c r="N25" s="31" t="s">
        <v>139</v>
      </c>
      <c r="O25" s="31" t="str">
        <f>IFERROR(VLOOKUP(J25,Variables!$A$51:$B$55,2,FALSE()),"")</f>
        <v>Riesgo manejable. Requiere medidas correctivas (60-90 días). Monitoreo trimestral.</v>
      </c>
    </row>
    <row r="26" spans="1:15" ht="78" hidden="1" customHeight="1" x14ac:dyDescent="0.35">
      <c r="A26" s="24" t="s">
        <v>444</v>
      </c>
      <c r="B26" s="25" t="s">
        <v>91</v>
      </c>
      <c r="C26" s="26" t="s">
        <v>182</v>
      </c>
      <c r="D26" s="27" t="s">
        <v>183</v>
      </c>
      <c r="E26" s="28" t="s">
        <v>10</v>
      </c>
      <c r="F26" s="28">
        <f>IFERROR(VLOOKUP(E26,Variables!$A$6:$E$10,5,0),"")</f>
        <v>3</v>
      </c>
      <c r="G26" s="28" t="s">
        <v>23</v>
      </c>
      <c r="H26" s="28">
        <f>IFERROR(VLOOKUP(G26,Variables!$A$14:$E$18,5,0),"")</f>
        <v>2</v>
      </c>
      <c r="I26" s="28" t="str">
        <f t="shared" si="0"/>
        <v>3:2</v>
      </c>
      <c r="J26" s="28" t="str">
        <f>IFERROR(VLOOKUP(I26,Variables!$A$22:$B$47,2,FALSE()),"Por definir")</f>
        <v>MEDIO</v>
      </c>
      <c r="K26" s="26" t="s">
        <v>180</v>
      </c>
      <c r="L26" s="26" t="s">
        <v>184</v>
      </c>
      <c r="M26" s="28">
        <f t="shared" si="1"/>
        <v>6</v>
      </c>
      <c r="N26" s="26" t="s">
        <v>105</v>
      </c>
      <c r="O26" s="26" t="str">
        <f>IFERROR(VLOOKUP(J26,Variables!$A$51:$B$55,2,FALSE()),"")</f>
        <v>Riesgo manejable. Requiere medidas correctivas (60-90 días). Monitoreo trimestral.</v>
      </c>
    </row>
    <row r="27" spans="1:15" ht="78" hidden="1" customHeight="1" x14ac:dyDescent="0.35">
      <c r="A27" s="29" t="s">
        <v>185</v>
      </c>
      <c r="B27" s="30" t="s">
        <v>91</v>
      </c>
      <c r="C27" s="31" t="s">
        <v>186</v>
      </c>
      <c r="D27" s="32" t="s">
        <v>187</v>
      </c>
      <c r="E27" s="21" t="s">
        <v>12</v>
      </c>
      <c r="F27" s="21">
        <f>IFERROR(VLOOKUP(E27,Variables!$A$6:$E$10,5,0),"")</f>
        <v>2</v>
      </c>
      <c r="G27" s="21" t="s">
        <v>23</v>
      </c>
      <c r="H27" s="21">
        <f>IFERROR(VLOOKUP(G27,Variables!$A$14:$E$18,5,0),"")</f>
        <v>2</v>
      </c>
      <c r="I27" s="21" t="str">
        <f t="shared" si="0"/>
        <v>2:2</v>
      </c>
      <c r="J27" s="21" t="str">
        <f>IFERROR(VLOOKUP(I27,Variables!$A$22:$B$47,2,FALSE()),"Por definir")</f>
        <v>MEDIO</v>
      </c>
      <c r="K27" s="31" t="s">
        <v>180</v>
      </c>
      <c r="L27" s="31" t="s">
        <v>188</v>
      </c>
      <c r="M27" s="21">
        <f t="shared" si="1"/>
        <v>4</v>
      </c>
      <c r="N27" s="31" t="s">
        <v>139</v>
      </c>
      <c r="O27" s="31" t="str">
        <f>IFERROR(VLOOKUP(J27,Variables!$A$51:$B$55,2,FALSE()),"")</f>
        <v>Riesgo manejable. Requiere medidas correctivas (60-90 días). Monitoreo trimestral.</v>
      </c>
    </row>
    <row r="28" spans="1:15" ht="60" hidden="1" customHeight="1" x14ac:dyDescent="0.35">
      <c r="A28" s="24" t="s">
        <v>189</v>
      </c>
      <c r="B28" s="25" t="s">
        <v>91</v>
      </c>
      <c r="C28" s="26" t="s">
        <v>190</v>
      </c>
      <c r="D28" s="27" t="s">
        <v>116</v>
      </c>
      <c r="E28" s="28" t="s">
        <v>10</v>
      </c>
      <c r="F28" s="28">
        <f>IFERROR(VLOOKUP(E28,Variables!$A$6:$E$10,5,0),"")</f>
        <v>3</v>
      </c>
      <c r="G28" s="28" t="s">
        <v>23</v>
      </c>
      <c r="H28" s="28">
        <f>IFERROR(VLOOKUP(G28,Variables!$A$14:$E$18,5,0),"")</f>
        <v>2</v>
      </c>
      <c r="I28" s="28" t="str">
        <f t="shared" si="0"/>
        <v>3:2</v>
      </c>
      <c r="J28" s="28" t="str">
        <f>IFERROR(VLOOKUP(I28,Variables!$A$22:$B$47,2,FALSE()),"Por definir")</f>
        <v>MEDIO</v>
      </c>
      <c r="K28" s="26" t="s">
        <v>180</v>
      </c>
      <c r="L28" s="26" t="s">
        <v>191</v>
      </c>
      <c r="M28" s="28">
        <f t="shared" si="1"/>
        <v>6</v>
      </c>
      <c r="N28" s="26" t="s">
        <v>192</v>
      </c>
      <c r="O28" s="26" t="str">
        <f>IFERROR(VLOOKUP(J28,Variables!$A$51:$B$55,2,FALSE()),"")</f>
        <v>Riesgo manejable. Requiere medidas correctivas (60-90 días). Monitoreo trimestral.</v>
      </c>
    </row>
    <row r="29" spans="1:15" ht="64.5" hidden="1" customHeight="1" x14ac:dyDescent="0.35">
      <c r="A29" s="29" t="s">
        <v>193</v>
      </c>
      <c r="B29" s="30" t="s">
        <v>91</v>
      </c>
      <c r="C29" s="31" t="s">
        <v>194</v>
      </c>
      <c r="D29" s="32" t="s">
        <v>195</v>
      </c>
      <c r="E29" s="21" t="s">
        <v>10</v>
      </c>
      <c r="F29" s="21">
        <f>IFERROR(VLOOKUP(E29,Variables!$A$6:$E$10,5,0),"")</f>
        <v>3</v>
      </c>
      <c r="G29" s="21" t="s">
        <v>21</v>
      </c>
      <c r="H29" s="21">
        <f>IFERROR(VLOOKUP(G29,Variables!$A$14:$E$18,5,0),"")</f>
        <v>3</v>
      </c>
      <c r="I29" s="21" t="str">
        <f t="shared" si="0"/>
        <v>3:3</v>
      </c>
      <c r="J29" s="21" t="str">
        <f>IFERROR(VLOOKUP(I29,Variables!$A$22:$B$47,2,FALSE()),"Por definir")</f>
        <v>MEDIO-ALTO</v>
      </c>
      <c r="K29" s="31" t="s">
        <v>180</v>
      </c>
      <c r="L29" s="31" t="s">
        <v>196</v>
      </c>
      <c r="M29" s="21">
        <f t="shared" si="1"/>
        <v>9</v>
      </c>
      <c r="N29" s="31" t="s">
        <v>197</v>
      </c>
      <c r="O29" s="31" t="str">
        <f>IFERROR(VLOOKUP(J29,Variables!$A$51:$B$55,2,FALSE()),"")</f>
        <v>Riesgo significativo. Requiere plan de acción formal (30-60 días). Monitoreo mensual.</v>
      </c>
    </row>
    <row r="30" spans="1:15" ht="90.75" hidden="1" customHeight="1" x14ac:dyDescent="0.35">
      <c r="A30" s="24" t="s">
        <v>445</v>
      </c>
      <c r="B30" s="25" t="s">
        <v>91</v>
      </c>
      <c r="C30" s="26" t="s">
        <v>198</v>
      </c>
      <c r="D30" s="27" t="s">
        <v>199</v>
      </c>
      <c r="E30" s="28" t="s">
        <v>10</v>
      </c>
      <c r="F30" s="28">
        <f>IFERROR(VLOOKUP(E30,Variables!$A$6:$E$10,5,0),"")</f>
        <v>3</v>
      </c>
      <c r="G30" s="28" t="s">
        <v>21</v>
      </c>
      <c r="H30" s="28">
        <f>IFERROR(VLOOKUP(G30,Variables!$A$14:$E$18,5,0),"")</f>
        <v>3</v>
      </c>
      <c r="I30" s="28" t="str">
        <f t="shared" si="0"/>
        <v>3:3</v>
      </c>
      <c r="J30" s="28" t="str">
        <f>IFERROR(VLOOKUP(I30,Variables!$A$22:$B$47,2,FALSE()),"Por definir")</f>
        <v>MEDIO-ALTO</v>
      </c>
      <c r="K30" s="26" t="s">
        <v>180</v>
      </c>
      <c r="L30" s="26" t="s">
        <v>200</v>
      </c>
      <c r="M30" s="28">
        <f t="shared" si="1"/>
        <v>9</v>
      </c>
      <c r="N30" s="26" t="s">
        <v>201</v>
      </c>
      <c r="O30" s="26" t="str">
        <f>IFERROR(VLOOKUP(J30,Variables!$A$51:$B$55,2,FALSE()),"")</f>
        <v>Riesgo significativo. Requiere plan de acción formal (30-60 días). Monitoreo mensual.</v>
      </c>
    </row>
    <row r="31" spans="1:15" ht="78" customHeight="1" x14ac:dyDescent="0.35">
      <c r="A31" s="29" t="s">
        <v>446</v>
      </c>
      <c r="B31" s="30" t="s">
        <v>91</v>
      </c>
      <c r="C31" s="31" t="s">
        <v>202</v>
      </c>
      <c r="D31" s="32" t="s">
        <v>203</v>
      </c>
      <c r="E31" s="21" t="s">
        <v>8</v>
      </c>
      <c r="F31" s="21">
        <f>IFERROR(VLOOKUP(E31,Variables!$A$6:$E$10,5,0),"")</f>
        <v>4</v>
      </c>
      <c r="G31" s="21" t="s">
        <v>19</v>
      </c>
      <c r="H31" s="21">
        <f>IFERROR(VLOOKUP(G31,Variables!$A$14:$E$18,5,0),"")</f>
        <v>4</v>
      </c>
      <c r="I31" s="21" t="str">
        <f t="shared" si="0"/>
        <v>4:4</v>
      </c>
      <c r="J31" s="21" t="str">
        <f>IFERROR(VLOOKUP(I31,Variables!$A$22:$B$47,2,FALSE()),"Por definir")</f>
        <v>CRÍTICO</v>
      </c>
      <c r="K31" s="31" t="s">
        <v>204</v>
      </c>
      <c r="L31" s="31" t="s">
        <v>205</v>
      </c>
      <c r="M31" s="21">
        <f t="shared" si="1"/>
        <v>16</v>
      </c>
      <c r="N31" s="31" t="s">
        <v>167</v>
      </c>
      <c r="O31" s="31" t="str">
        <f>IFERROR(VLOOKUP(J31,Variables!$A$51:$B$55,2,FALSE()),"")</f>
        <v>Riesgo inaceptable. Acción inmediata (0-30 días). Reporte obligatorio a JD y Oficial de Cumplimiento.</v>
      </c>
    </row>
    <row r="32" spans="1:15" ht="60" hidden="1" customHeight="1" x14ac:dyDescent="0.35">
      <c r="A32" s="24" t="s">
        <v>206</v>
      </c>
      <c r="B32" s="25" t="s">
        <v>91</v>
      </c>
      <c r="C32" s="26" t="s">
        <v>207</v>
      </c>
      <c r="D32" s="27" t="s">
        <v>116</v>
      </c>
      <c r="E32" s="28" t="s">
        <v>12</v>
      </c>
      <c r="F32" s="28">
        <f>IFERROR(VLOOKUP(E32,Variables!$A$6:$E$10,5,0),"")</f>
        <v>2</v>
      </c>
      <c r="G32" s="28" t="s">
        <v>23</v>
      </c>
      <c r="H32" s="28">
        <f>IFERROR(VLOOKUP(G32,Variables!$A$14:$E$18,5,0),"")</f>
        <v>2</v>
      </c>
      <c r="I32" s="28" t="str">
        <f t="shared" si="0"/>
        <v>2:2</v>
      </c>
      <c r="J32" s="28" t="str">
        <f>IFERROR(VLOOKUP(I32,Variables!$A$22:$B$47,2,FALSE()),"Por definir")</f>
        <v>MEDIO</v>
      </c>
      <c r="K32" s="26" t="s">
        <v>204</v>
      </c>
      <c r="L32" s="26" t="s">
        <v>166</v>
      </c>
      <c r="M32" s="28">
        <f t="shared" si="1"/>
        <v>4</v>
      </c>
      <c r="N32" s="26" t="s">
        <v>167</v>
      </c>
      <c r="O32" s="26" t="str">
        <f>IFERROR(VLOOKUP(J32,Variables!$A$51:$B$55,2,FALSE()),"")</f>
        <v>Riesgo manejable. Requiere medidas correctivas (60-90 días). Monitoreo trimestral.</v>
      </c>
    </row>
    <row r="33" spans="1:15" ht="78" hidden="1" customHeight="1" x14ac:dyDescent="0.35">
      <c r="A33" s="29" t="s">
        <v>208</v>
      </c>
      <c r="B33" s="30" t="s">
        <v>91</v>
      </c>
      <c r="C33" s="31" t="s">
        <v>209</v>
      </c>
      <c r="D33" s="32" t="s">
        <v>210</v>
      </c>
      <c r="E33" s="21" t="s">
        <v>10</v>
      </c>
      <c r="F33" s="21">
        <f>IFERROR(VLOOKUP(E33,Variables!$A$6:$E$10,5,0),"")</f>
        <v>3</v>
      </c>
      <c r="G33" s="21" t="s">
        <v>21</v>
      </c>
      <c r="H33" s="21">
        <f>IFERROR(VLOOKUP(G33,Variables!$A$14:$E$18,5,0),"")</f>
        <v>3</v>
      </c>
      <c r="I33" s="21" t="str">
        <f t="shared" si="0"/>
        <v>3:3</v>
      </c>
      <c r="J33" s="21" t="str">
        <f>IFERROR(VLOOKUP(I33,Variables!$A$22:$B$47,2,FALSE()),"Por definir")</f>
        <v>MEDIO-ALTO</v>
      </c>
      <c r="K33" s="31" t="s">
        <v>204</v>
      </c>
      <c r="L33" s="31" t="s">
        <v>211</v>
      </c>
      <c r="M33" s="21">
        <f t="shared" si="1"/>
        <v>9</v>
      </c>
      <c r="N33" s="31" t="s">
        <v>212</v>
      </c>
      <c r="O33" s="31" t="str">
        <f>IFERROR(VLOOKUP(J33,Variables!$A$51:$B$55,2,FALSE()),"")</f>
        <v>Riesgo significativo. Requiere plan de acción formal (30-60 días). Monitoreo mensual.</v>
      </c>
    </row>
    <row r="34" spans="1:15" ht="90.75" hidden="1" customHeight="1" x14ac:dyDescent="0.35">
      <c r="A34" s="24" t="s">
        <v>213</v>
      </c>
      <c r="B34" s="25" t="s">
        <v>91</v>
      </c>
      <c r="C34" s="26" t="s">
        <v>214</v>
      </c>
      <c r="D34" s="27" t="s">
        <v>215</v>
      </c>
      <c r="E34" s="28" t="s">
        <v>8</v>
      </c>
      <c r="F34" s="28">
        <f>IFERROR(VLOOKUP(E34,Variables!$A$6:$E$10,5,0),"")</f>
        <v>4</v>
      </c>
      <c r="G34" s="28" t="s">
        <v>21</v>
      </c>
      <c r="H34" s="28">
        <f>IFERROR(VLOOKUP(G34,Variables!$A$14:$E$18,5,0),"")</f>
        <v>3</v>
      </c>
      <c r="I34" s="28" t="str">
        <f t="shared" si="0"/>
        <v>4:3</v>
      </c>
      <c r="J34" s="28" t="str">
        <f>IFERROR(VLOOKUP(I34,Variables!$A$22:$B$47,2,FALSE()),"Por definir")</f>
        <v>MEDIO-ALTO</v>
      </c>
      <c r="K34" s="26" t="s">
        <v>204</v>
      </c>
      <c r="L34" s="26" t="s">
        <v>216</v>
      </c>
      <c r="M34" s="28">
        <f t="shared" si="1"/>
        <v>12</v>
      </c>
      <c r="N34" s="26" t="s">
        <v>212</v>
      </c>
      <c r="O34" s="26" t="str">
        <f>IFERROR(VLOOKUP(J34,Variables!$A$51:$B$55,2,FALSE()),"")</f>
        <v>Riesgo significativo. Requiere plan de acción formal (30-60 días). Monitoreo mensual.</v>
      </c>
    </row>
    <row r="35" spans="1:15" ht="78" hidden="1" customHeight="1" x14ac:dyDescent="0.35">
      <c r="A35" s="29" t="s">
        <v>217</v>
      </c>
      <c r="B35" s="30" t="s">
        <v>91</v>
      </c>
      <c r="C35" s="31" t="s">
        <v>218</v>
      </c>
      <c r="D35" s="32" t="s">
        <v>129</v>
      </c>
      <c r="E35" s="21" t="s">
        <v>10</v>
      </c>
      <c r="F35" s="21">
        <f>IFERROR(VLOOKUP(E35,Variables!$A$6:$E$10,5,0),"")</f>
        <v>3</v>
      </c>
      <c r="G35" s="21" t="s">
        <v>21</v>
      </c>
      <c r="H35" s="21">
        <f>IFERROR(VLOOKUP(G35,Variables!$A$14:$E$18,5,0),"")</f>
        <v>3</v>
      </c>
      <c r="I35" s="21" t="str">
        <f t="shared" si="0"/>
        <v>3:3</v>
      </c>
      <c r="J35" s="21" t="str">
        <f>IFERROR(VLOOKUP(I35,Variables!$A$22:$B$47,2,FALSE()),"Por definir")</f>
        <v>MEDIO-ALTO</v>
      </c>
      <c r="K35" s="31" t="s">
        <v>204</v>
      </c>
      <c r="L35" s="31" t="s">
        <v>219</v>
      </c>
      <c r="M35" s="21">
        <f t="shared" si="1"/>
        <v>9</v>
      </c>
      <c r="N35" s="31" t="s">
        <v>220</v>
      </c>
      <c r="O35" s="31" t="str">
        <f>IFERROR(VLOOKUP(J35,Variables!$A$51:$B$55,2,FALSE()),"")</f>
        <v>Riesgo significativo. Requiere plan de acción formal (30-60 días). Monitoreo mensual.</v>
      </c>
    </row>
    <row r="36" spans="1:15" ht="64.5" hidden="1" customHeight="1" x14ac:dyDescent="0.35">
      <c r="A36" s="24" t="s">
        <v>221</v>
      </c>
      <c r="B36" s="25" t="s">
        <v>91</v>
      </c>
      <c r="C36" s="26" t="s">
        <v>222</v>
      </c>
      <c r="D36" s="27" t="s">
        <v>223</v>
      </c>
      <c r="E36" s="28" t="s">
        <v>8</v>
      </c>
      <c r="F36" s="28">
        <f>IFERROR(VLOOKUP(E36,Variables!$A$6:$E$10,5,0),"")</f>
        <v>4</v>
      </c>
      <c r="G36" s="28" t="s">
        <v>21</v>
      </c>
      <c r="H36" s="28">
        <f>IFERROR(VLOOKUP(G36,Variables!$A$14:$E$18,5,0),"")</f>
        <v>3</v>
      </c>
      <c r="I36" s="28" t="str">
        <f t="shared" ref="I36:I67" si="2">IF(B36="Oportunidad de Mejora","OM",IFERROR(CONCATENATE(F36,":",H36),""))</f>
        <v>4:3</v>
      </c>
      <c r="J36" s="28" t="str">
        <f>IFERROR(VLOOKUP(I36,Variables!$A$22:$B$47,2,FALSE()),"Por definir")</f>
        <v>MEDIO-ALTO</v>
      </c>
      <c r="K36" s="26" t="s">
        <v>204</v>
      </c>
      <c r="L36" s="26" t="s">
        <v>224</v>
      </c>
      <c r="M36" s="28">
        <f t="shared" ref="M36:M67" si="3">IF(I36="OM","N/A",IFERROR(F36*H36,""))</f>
        <v>12</v>
      </c>
      <c r="N36" s="26" t="s">
        <v>212</v>
      </c>
      <c r="O36" s="26" t="str">
        <f>IFERROR(VLOOKUP(J36,Variables!$A$51:$B$55,2,FALSE()),"")</f>
        <v>Riesgo significativo. Requiere plan de acción formal (30-60 días). Monitoreo mensual.</v>
      </c>
    </row>
    <row r="37" spans="1:15" ht="64.5" hidden="1" customHeight="1" x14ac:dyDescent="0.35">
      <c r="A37" s="29" t="s">
        <v>225</v>
      </c>
      <c r="B37" s="30" t="s">
        <v>91</v>
      </c>
      <c r="C37" s="31" t="s">
        <v>226</v>
      </c>
      <c r="D37" s="32" t="s">
        <v>227</v>
      </c>
      <c r="E37" s="21" t="s">
        <v>8</v>
      </c>
      <c r="F37" s="21">
        <f>IFERROR(VLOOKUP(E37,Variables!$A$6:$E$10,5,0),"")</f>
        <v>4</v>
      </c>
      <c r="G37" s="21" t="s">
        <v>21</v>
      </c>
      <c r="H37" s="21">
        <f>IFERROR(VLOOKUP(G37,Variables!$A$14:$E$18,5,0),"")</f>
        <v>3</v>
      </c>
      <c r="I37" s="21" t="str">
        <f t="shared" si="2"/>
        <v>4:3</v>
      </c>
      <c r="J37" s="21" t="str">
        <f>IFERROR(VLOOKUP(I37,Variables!$A$22:$B$47,2,FALSE()),"Por definir")</f>
        <v>MEDIO-ALTO</v>
      </c>
      <c r="K37" s="31" t="s">
        <v>204</v>
      </c>
      <c r="L37" s="31" t="s">
        <v>228</v>
      </c>
      <c r="M37" s="21">
        <f t="shared" si="3"/>
        <v>12</v>
      </c>
      <c r="N37" s="31" t="s">
        <v>160</v>
      </c>
      <c r="O37" s="31" t="str">
        <f>IFERROR(VLOOKUP(J37,Variables!$A$51:$B$55,2,FALSE()),"")</f>
        <v>Riesgo significativo. Requiere plan de acción formal (30-60 días). Monitoreo mensual.</v>
      </c>
    </row>
    <row r="38" spans="1:15" ht="60" hidden="1" customHeight="1" x14ac:dyDescent="0.35">
      <c r="A38" s="24" t="s">
        <v>229</v>
      </c>
      <c r="B38" s="25" t="s">
        <v>91</v>
      </c>
      <c r="C38" s="26" t="s">
        <v>230</v>
      </c>
      <c r="D38" s="27" t="s">
        <v>116</v>
      </c>
      <c r="E38" s="28" t="s">
        <v>12</v>
      </c>
      <c r="F38" s="28">
        <f>IFERROR(VLOOKUP(E38,Variables!$A$6:$E$10,5,0),"")</f>
        <v>2</v>
      </c>
      <c r="G38" s="28" t="s">
        <v>25</v>
      </c>
      <c r="H38" s="28">
        <f>IFERROR(VLOOKUP(G38,Variables!$A$14:$E$18,5,0),"")</f>
        <v>1</v>
      </c>
      <c r="I38" s="28" t="str">
        <f t="shared" si="2"/>
        <v>2:1</v>
      </c>
      <c r="J38" s="28" t="str">
        <f>IFERROR(VLOOKUP(I38,Variables!$A$22:$B$47,2,FALSE()),"Por definir")</f>
        <v>BAJO</v>
      </c>
      <c r="K38" s="26" t="s">
        <v>204</v>
      </c>
      <c r="L38" s="26" t="s">
        <v>231</v>
      </c>
      <c r="M38" s="28">
        <f t="shared" si="3"/>
        <v>2</v>
      </c>
      <c r="N38" s="26" t="s">
        <v>220</v>
      </c>
      <c r="O38" s="26" t="str">
        <f>IFERROR(VLOOKUP(J38,Variables!$A$51:$B$55,2,FALSE()),"")</f>
        <v>Riesgo aceptable. Controles mínimos son suficientes. Monitoreo semestral.</v>
      </c>
    </row>
    <row r="39" spans="1:15" ht="142.5" customHeight="1" x14ac:dyDescent="0.35">
      <c r="A39" s="29" t="s">
        <v>447</v>
      </c>
      <c r="B39" s="30" t="s">
        <v>91</v>
      </c>
      <c r="C39" s="31" t="s">
        <v>232</v>
      </c>
      <c r="D39" s="32" t="s">
        <v>233</v>
      </c>
      <c r="E39" s="21" t="s">
        <v>6</v>
      </c>
      <c r="F39" s="21">
        <f>IFERROR(VLOOKUP(E39,Variables!$A$6:$E$10,5,0),"")</f>
        <v>5</v>
      </c>
      <c r="G39" s="21" t="s">
        <v>19</v>
      </c>
      <c r="H39" s="21">
        <f>IFERROR(VLOOKUP(G39,Variables!$A$14:$E$18,5,0),"")</f>
        <v>4</v>
      </c>
      <c r="I39" s="21" t="str">
        <f t="shared" si="2"/>
        <v>5:4</v>
      </c>
      <c r="J39" s="21" t="str">
        <f>IFERROR(VLOOKUP(I39,Variables!$A$22:$B$47,2,FALSE()),"Por definir")</f>
        <v>CRÍTICO</v>
      </c>
      <c r="K39" s="31" t="s">
        <v>234</v>
      </c>
      <c r="L39" s="31" t="s">
        <v>235</v>
      </c>
      <c r="M39" s="21">
        <f t="shared" si="3"/>
        <v>20</v>
      </c>
      <c r="N39" s="31" t="s">
        <v>236</v>
      </c>
      <c r="O39" s="31" t="str">
        <f>IFERROR(VLOOKUP(J39,Variables!$A$51:$B$55,2,FALSE()),"")</f>
        <v>Riesgo inaceptable. Acción inmediata (0-30 días). Reporte obligatorio a JD y Oficial de Cumplimiento.</v>
      </c>
    </row>
    <row r="40" spans="1:15" ht="92" x14ac:dyDescent="0.35">
      <c r="A40" s="24" t="s">
        <v>448</v>
      </c>
      <c r="B40" s="25" t="s">
        <v>91</v>
      </c>
      <c r="C40" s="26" t="s">
        <v>237</v>
      </c>
      <c r="D40" s="27" t="s">
        <v>238</v>
      </c>
      <c r="E40" s="28" t="s">
        <v>8</v>
      </c>
      <c r="F40" s="28">
        <f>IFERROR(VLOOKUP(E40,Variables!$A$6:$E$10,5,0),"")</f>
        <v>4</v>
      </c>
      <c r="G40" s="28" t="s">
        <v>19</v>
      </c>
      <c r="H40" s="28">
        <f>IFERROR(VLOOKUP(G40,Variables!$A$14:$E$18,5,0),"")</f>
        <v>4</v>
      </c>
      <c r="I40" s="28" t="str">
        <f t="shared" si="2"/>
        <v>4:4</v>
      </c>
      <c r="J40" s="28" t="str">
        <f>IFERROR(VLOOKUP(I40,Variables!$A$22:$B$47,2,FALSE()),"Por definir")</f>
        <v>CRÍTICO</v>
      </c>
      <c r="K40" s="26" t="s">
        <v>234</v>
      </c>
      <c r="L40" s="26" t="s">
        <v>239</v>
      </c>
      <c r="M40" s="28">
        <f t="shared" si="3"/>
        <v>16</v>
      </c>
      <c r="N40" s="26" t="s">
        <v>240</v>
      </c>
      <c r="O40" s="26" t="str">
        <f>IFERROR(VLOOKUP(J40,Variables!$A$51:$B$55,2,FALSE()),"")</f>
        <v>Riesgo inaceptable. Acción inmediata (0-30 días). Reporte obligatorio a JD y Oficial de Cumplimiento.</v>
      </c>
    </row>
    <row r="41" spans="1:15" ht="78" hidden="1" customHeight="1" x14ac:dyDescent="0.35">
      <c r="A41" s="29" t="s">
        <v>241</v>
      </c>
      <c r="B41" s="30" t="s">
        <v>91</v>
      </c>
      <c r="C41" s="31" t="s">
        <v>242</v>
      </c>
      <c r="D41" s="32" t="s">
        <v>129</v>
      </c>
      <c r="E41" s="21" t="s">
        <v>8</v>
      </c>
      <c r="F41" s="21">
        <f>IFERROR(VLOOKUP(E41,Variables!$A$6:$E$10,5,0),"")</f>
        <v>4</v>
      </c>
      <c r="G41" s="21" t="s">
        <v>21</v>
      </c>
      <c r="H41" s="21">
        <f>IFERROR(VLOOKUP(G41,Variables!$A$14:$E$18,5,0),"")</f>
        <v>3</v>
      </c>
      <c r="I41" s="21" t="str">
        <f t="shared" si="2"/>
        <v>4:3</v>
      </c>
      <c r="J41" s="21" t="str">
        <f>IFERROR(VLOOKUP(I41,Variables!$A$22:$B$47,2,FALSE()),"Por definir")</f>
        <v>MEDIO-ALTO</v>
      </c>
      <c r="K41" s="31" t="s">
        <v>234</v>
      </c>
      <c r="L41" s="31" t="s">
        <v>243</v>
      </c>
      <c r="M41" s="21">
        <f t="shared" si="3"/>
        <v>12</v>
      </c>
      <c r="N41" s="31" t="s">
        <v>160</v>
      </c>
      <c r="O41" s="31" t="str">
        <f>IFERROR(VLOOKUP(J41,Variables!$A$51:$B$55,2,FALSE()),"")</f>
        <v>Riesgo significativo. Requiere plan de acción formal (30-60 días). Monitoreo mensual.</v>
      </c>
    </row>
    <row r="42" spans="1:15" ht="64.5" hidden="1" customHeight="1" x14ac:dyDescent="0.35">
      <c r="A42" s="24" t="s">
        <v>244</v>
      </c>
      <c r="B42" s="25" t="s">
        <v>91</v>
      </c>
      <c r="C42" s="26" t="s">
        <v>245</v>
      </c>
      <c r="D42" s="27" t="s">
        <v>129</v>
      </c>
      <c r="E42" s="28" t="s">
        <v>10</v>
      </c>
      <c r="F42" s="28">
        <f>IFERROR(VLOOKUP(E42,Variables!$A$6:$E$10,5,0),"")</f>
        <v>3</v>
      </c>
      <c r="G42" s="28" t="s">
        <v>21</v>
      </c>
      <c r="H42" s="28">
        <f>IFERROR(VLOOKUP(G42,Variables!$A$14:$E$18,5,0),"")</f>
        <v>3</v>
      </c>
      <c r="I42" s="28" t="str">
        <f t="shared" si="2"/>
        <v>3:3</v>
      </c>
      <c r="J42" s="28" t="str">
        <f>IFERROR(VLOOKUP(I42,Variables!$A$22:$B$47,2,FALSE()),"Por definir")</f>
        <v>MEDIO-ALTO</v>
      </c>
      <c r="K42" s="26" t="s">
        <v>234</v>
      </c>
      <c r="L42" s="26" t="s">
        <v>246</v>
      </c>
      <c r="M42" s="28">
        <f t="shared" si="3"/>
        <v>9</v>
      </c>
      <c r="N42" s="26" t="s">
        <v>247</v>
      </c>
      <c r="O42" s="26" t="str">
        <f>IFERROR(VLOOKUP(J42,Variables!$A$51:$B$55,2,FALSE()),"")</f>
        <v>Riesgo significativo. Requiere plan de acción formal (30-60 días). Monitoreo mensual.</v>
      </c>
    </row>
    <row r="43" spans="1:15" ht="90.75" hidden="1" customHeight="1" x14ac:dyDescent="0.35">
      <c r="A43" s="29" t="s">
        <v>248</v>
      </c>
      <c r="B43" s="30" t="s">
        <v>91</v>
      </c>
      <c r="C43" s="31" t="s">
        <v>249</v>
      </c>
      <c r="D43" s="32" t="s">
        <v>250</v>
      </c>
      <c r="E43" s="21" t="s">
        <v>12</v>
      </c>
      <c r="F43" s="21">
        <f>IFERROR(VLOOKUP(E43,Variables!$A$6:$E$10,5,0),"")</f>
        <v>2</v>
      </c>
      <c r="G43" s="21" t="s">
        <v>19</v>
      </c>
      <c r="H43" s="21">
        <f>IFERROR(VLOOKUP(G43,Variables!$A$14:$E$18,5,0),"")</f>
        <v>4</v>
      </c>
      <c r="I43" s="21" t="str">
        <f t="shared" si="2"/>
        <v>2:4</v>
      </c>
      <c r="J43" s="21" t="str">
        <f>IFERROR(VLOOKUP(I43,Variables!$A$22:$B$47,2,FALSE()),"Por definir")</f>
        <v>MEDIO-ALTO</v>
      </c>
      <c r="K43" s="31" t="s">
        <v>234</v>
      </c>
      <c r="L43" s="31" t="s">
        <v>251</v>
      </c>
      <c r="M43" s="21">
        <f t="shared" si="3"/>
        <v>8</v>
      </c>
      <c r="N43" s="31" t="s">
        <v>145</v>
      </c>
      <c r="O43" s="31" t="str">
        <f>IFERROR(VLOOKUP(J43,Variables!$A$51:$B$55,2,FALSE()),"")</f>
        <v>Riesgo significativo. Requiere plan de acción formal (30-60 días). Monitoreo mensual.</v>
      </c>
    </row>
    <row r="44" spans="1:15" ht="90.75" hidden="1" customHeight="1" x14ac:dyDescent="0.35">
      <c r="A44" s="24" t="s">
        <v>449</v>
      </c>
      <c r="B44" s="25" t="s">
        <v>91</v>
      </c>
      <c r="C44" s="26" t="s">
        <v>252</v>
      </c>
      <c r="D44" s="27" t="s">
        <v>233</v>
      </c>
      <c r="E44" s="28" t="s">
        <v>10</v>
      </c>
      <c r="F44" s="28">
        <f>IFERROR(VLOOKUP(E44,Variables!$A$6:$E$10,5,0),"")</f>
        <v>3</v>
      </c>
      <c r="G44" s="28" t="s">
        <v>21</v>
      </c>
      <c r="H44" s="28">
        <f>IFERROR(VLOOKUP(G44,Variables!$A$14:$E$18,5,0),"")</f>
        <v>3</v>
      </c>
      <c r="I44" s="28" t="str">
        <f t="shared" si="2"/>
        <v>3:3</v>
      </c>
      <c r="J44" s="28" t="str">
        <f>IFERROR(VLOOKUP(I44,Variables!$A$22:$B$47,2,FALSE()),"Por definir")</f>
        <v>MEDIO-ALTO</v>
      </c>
      <c r="K44" s="26" t="s">
        <v>234</v>
      </c>
      <c r="L44" s="26" t="s">
        <v>253</v>
      </c>
      <c r="M44" s="28">
        <f t="shared" si="3"/>
        <v>9</v>
      </c>
      <c r="N44" s="26" t="s">
        <v>236</v>
      </c>
      <c r="O44" s="26" t="str">
        <f>IFERROR(VLOOKUP(J44,Variables!$A$51:$B$55,2,FALSE()),"")</f>
        <v>Riesgo significativo. Requiere plan de acción formal (30-60 días). Monitoreo mensual.</v>
      </c>
    </row>
    <row r="45" spans="1:15" ht="60" hidden="1" customHeight="1" x14ac:dyDescent="0.35">
      <c r="A45" s="29" t="s">
        <v>450</v>
      </c>
      <c r="B45" s="30" t="s">
        <v>91</v>
      </c>
      <c r="C45" s="31" t="s">
        <v>254</v>
      </c>
      <c r="D45" s="32" t="s">
        <v>129</v>
      </c>
      <c r="E45" s="21" t="s">
        <v>10</v>
      </c>
      <c r="F45" s="21">
        <f>IFERROR(VLOOKUP(E45,Variables!$A$6:$E$10,5,0),"")</f>
        <v>3</v>
      </c>
      <c r="G45" s="21" t="s">
        <v>23</v>
      </c>
      <c r="H45" s="21">
        <f>IFERROR(VLOOKUP(G45,Variables!$A$14:$E$18,5,0),"")</f>
        <v>2</v>
      </c>
      <c r="I45" s="21" t="str">
        <f t="shared" si="2"/>
        <v>3:2</v>
      </c>
      <c r="J45" s="21" t="str">
        <f>IFERROR(VLOOKUP(I45,Variables!$A$22:$B$47,2,FALSE()),"Por definir")</f>
        <v>MEDIO</v>
      </c>
      <c r="K45" s="31" t="s">
        <v>234</v>
      </c>
      <c r="L45" s="31" t="s">
        <v>255</v>
      </c>
      <c r="M45" s="21">
        <f t="shared" si="3"/>
        <v>6</v>
      </c>
      <c r="N45" s="31" t="s">
        <v>197</v>
      </c>
      <c r="O45" s="31" t="str">
        <f>IFERROR(VLOOKUP(J45,Variables!$A$51:$B$55,2,FALSE()),"")</f>
        <v>Riesgo manejable. Requiere medidas correctivas (60-90 días). Monitoreo trimestral.</v>
      </c>
    </row>
    <row r="46" spans="1:15" ht="69" x14ac:dyDescent="0.35">
      <c r="A46" s="24" t="s">
        <v>451</v>
      </c>
      <c r="B46" s="25" t="s">
        <v>91</v>
      </c>
      <c r="C46" s="26" t="s">
        <v>256</v>
      </c>
      <c r="D46" s="27" t="s">
        <v>233</v>
      </c>
      <c r="E46" s="28" t="s">
        <v>6</v>
      </c>
      <c r="F46" s="28">
        <f>IFERROR(VLOOKUP(E46,Variables!$A$6:$E$10,5,0),"")</f>
        <v>5</v>
      </c>
      <c r="G46" s="28" t="s">
        <v>21</v>
      </c>
      <c r="H46" s="28">
        <f>IFERROR(VLOOKUP(G46,Variables!$A$14:$E$18,5,0),"")</f>
        <v>3</v>
      </c>
      <c r="I46" s="28" t="str">
        <f t="shared" si="2"/>
        <v>5:3</v>
      </c>
      <c r="J46" s="28" t="str">
        <f>IFERROR(VLOOKUP(I46,Variables!$A$22:$B$47,2,FALSE()),"Por definir")</f>
        <v>CRÍTICO</v>
      </c>
      <c r="K46" s="26" t="s">
        <v>234</v>
      </c>
      <c r="L46" s="26" t="s">
        <v>257</v>
      </c>
      <c r="M46" s="28">
        <f t="shared" si="3"/>
        <v>15</v>
      </c>
      <c r="N46" s="26" t="s">
        <v>258</v>
      </c>
      <c r="O46" s="26" t="str">
        <f>IFERROR(VLOOKUP(J46,Variables!$A$51:$B$55,2,FALSE()),"")</f>
        <v>Riesgo inaceptable. Acción inmediata (0-30 días). Reporte obligatorio a JD y Oficial de Cumplimiento.</v>
      </c>
    </row>
    <row r="47" spans="1:15" ht="103.5" customHeight="1" x14ac:dyDescent="0.35">
      <c r="A47" s="29" t="s">
        <v>259</v>
      </c>
      <c r="B47" s="30" t="s">
        <v>91</v>
      </c>
      <c r="C47" s="31" t="s">
        <v>260</v>
      </c>
      <c r="D47" s="32" t="s">
        <v>261</v>
      </c>
      <c r="E47" s="21" t="s">
        <v>8</v>
      </c>
      <c r="F47" s="21">
        <f>IFERROR(VLOOKUP(E47,Variables!$A$6:$E$10,5,0),"")</f>
        <v>4</v>
      </c>
      <c r="G47" s="21" t="s">
        <v>19</v>
      </c>
      <c r="H47" s="21">
        <f>IFERROR(VLOOKUP(G47,Variables!$A$14:$E$18,5,0),"")</f>
        <v>4</v>
      </c>
      <c r="I47" s="21" t="str">
        <f t="shared" si="2"/>
        <v>4:4</v>
      </c>
      <c r="J47" s="21" t="str">
        <f>IFERROR(VLOOKUP(I47,Variables!$A$22:$B$47,2,FALSE()),"Por definir")</f>
        <v>CRÍTICO</v>
      </c>
      <c r="K47" s="31" t="s">
        <v>262</v>
      </c>
      <c r="L47" s="31" t="s">
        <v>263</v>
      </c>
      <c r="M47" s="21">
        <f t="shared" si="3"/>
        <v>16</v>
      </c>
      <c r="N47" s="31" t="s">
        <v>264</v>
      </c>
      <c r="O47" s="31" t="str">
        <f>IFERROR(VLOOKUP(J47,Variables!$A$51:$B$55,2,FALSE()),"")</f>
        <v>Riesgo inaceptable. Acción inmediata (0-30 días). Reporte obligatorio a JD y Oficial de Cumplimiento.</v>
      </c>
    </row>
    <row r="48" spans="1:15" ht="64.5" hidden="1" customHeight="1" x14ac:dyDescent="0.35">
      <c r="A48" s="24" t="s">
        <v>452</v>
      </c>
      <c r="B48" s="25" t="s">
        <v>91</v>
      </c>
      <c r="C48" s="26" t="s">
        <v>265</v>
      </c>
      <c r="D48" s="27" t="s">
        <v>266</v>
      </c>
      <c r="E48" s="28" t="s">
        <v>12</v>
      </c>
      <c r="F48" s="28">
        <f>IFERROR(VLOOKUP(E48,Variables!$A$6:$E$10,5,0),"")</f>
        <v>2</v>
      </c>
      <c r="G48" s="28" t="s">
        <v>23</v>
      </c>
      <c r="H48" s="28">
        <f>IFERROR(VLOOKUP(G48,Variables!$A$14:$E$18,5,0),"")</f>
        <v>2</v>
      </c>
      <c r="I48" s="28" t="str">
        <f t="shared" si="2"/>
        <v>2:2</v>
      </c>
      <c r="J48" s="28" t="str">
        <f>IFERROR(VLOOKUP(I48,Variables!$A$22:$B$47,2,FALSE()),"Por definir")</f>
        <v>MEDIO</v>
      </c>
      <c r="K48" s="26" t="s">
        <v>262</v>
      </c>
      <c r="L48" s="26" t="s">
        <v>267</v>
      </c>
      <c r="M48" s="28">
        <f t="shared" si="3"/>
        <v>4</v>
      </c>
      <c r="N48" s="26" t="s">
        <v>268</v>
      </c>
      <c r="O48" s="26" t="str">
        <f>IFERROR(VLOOKUP(J48,Variables!$A$51:$B$55,2,FALSE()),"")</f>
        <v>Riesgo manejable. Requiere medidas correctivas (60-90 días). Monitoreo trimestral.</v>
      </c>
    </row>
    <row r="49" spans="1:15" ht="60" hidden="1" customHeight="1" x14ac:dyDescent="0.35">
      <c r="A49" s="29" t="s">
        <v>269</v>
      </c>
      <c r="B49" s="30" t="s">
        <v>91</v>
      </c>
      <c r="C49" s="31" t="s">
        <v>226</v>
      </c>
      <c r="D49" s="32" t="s">
        <v>116</v>
      </c>
      <c r="E49" s="21" t="s">
        <v>10</v>
      </c>
      <c r="F49" s="21">
        <f>IFERROR(VLOOKUP(E49,Variables!$A$6:$E$10,5,0),"")</f>
        <v>3</v>
      </c>
      <c r="G49" s="21" t="s">
        <v>23</v>
      </c>
      <c r="H49" s="21">
        <f>IFERROR(VLOOKUP(G49,Variables!$A$14:$E$18,5,0),"")</f>
        <v>2</v>
      </c>
      <c r="I49" s="21" t="str">
        <f t="shared" si="2"/>
        <v>3:2</v>
      </c>
      <c r="J49" s="21" t="str">
        <f>IFERROR(VLOOKUP(I49,Variables!$A$22:$B$47,2,FALSE()),"Por definir")</f>
        <v>MEDIO</v>
      </c>
      <c r="K49" s="31" t="s">
        <v>262</v>
      </c>
      <c r="L49" s="31" t="s">
        <v>270</v>
      </c>
      <c r="M49" s="21">
        <f t="shared" si="3"/>
        <v>6</v>
      </c>
      <c r="N49" s="31" t="s">
        <v>268</v>
      </c>
      <c r="O49" s="31" t="str">
        <f>IFERROR(VLOOKUP(J49,Variables!$A$51:$B$55,2,FALSE()),"")</f>
        <v>Riesgo manejable. Requiere medidas correctivas (60-90 días). Monitoreo trimestral.</v>
      </c>
    </row>
    <row r="50" spans="1:15" ht="60" hidden="1" customHeight="1" x14ac:dyDescent="0.35">
      <c r="A50" s="24" t="s">
        <v>271</v>
      </c>
      <c r="B50" s="25" t="s">
        <v>91</v>
      </c>
      <c r="C50" s="26" t="s">
        <v>272</v>
      </c>
      <c r="D50" s="27" t="s">
        <v>125</v>
      </c>
      <c r="E50" s="28" t="s">
        <v>10</v>
      </c>
      <c r="F50" s="28">
        <f>IFERROR(VLOOKUP(E50,Variables!$A$6:$E$10,5,0),"")</f>
        <v>3</v>
      </c>
      <c r="G50" s="28" t="s">
        <v>21</v>
      </c>
      <c r="H50" s="28">
        <f>IFERROR(VLOOKUP(G50,Variables!$A$14:$E$18,5,0),"")</f>
        <v>3</v>
      </c>
      <c r="I50" s="28" t="str">
        <f t="shared" si="2"/>
        <v>3:3</v>
      </c>
      <c r="J50" s="28" t="str">
        <f>IFERROR(VLOOKUP(I50,Variables!$A$22:$B$47,2,FALSE()),"Por definir")</f>
        <v>MEDIO-ALTO</v>
      </c>
      <c r="K50" s="26" t="s">
        <v>262</v>
      </c>
      <c r="L50" s="26" t="s">
        <v>273</v>
      </c>
      <c r="M50" s="28">
        <f t="shared" si="3"/>
        <v>9</v>
      </c>
      <c r="N50" s="26" t="s">
        <v>274</v>
      </c>
      <c r="O50" s="26" t="str">
        <f>IFERROR(VLOOKUP(J50,Variables!$A$51:$B$55,2,FALSE()),"")</f>
        <v>Riesgo significativo. Requiere plan de acción formal (30-60 días). Monitoreo mensual.</v>
      </c>
    </row>
    <row r="51" spans="1:15" ht="64.5" hidden="1" customHeight="1" x14ac:dyDescent="0.35">
      <c r="A51" s="29" t="s">
        <v>275</v>
      </c>
      <c r="B51" s="30" t="s">
        <v>91</v>
      </c>
      <c r="C51" s="31" t="s">
        <v>276</v>
      </c>
      <c r="D51" s="32" t="s">
        <v>125</v>
      </c>
      <c r="E51" s="21" t="s">
        <v>12</v>
      </c>
      <c r="F51" s="21">
        <f>IFERROR(VLOOKUP(E51,Variables!$A$6:$E$10,5,0),"")</f>
        <v>2</v>
      </c>
      <c r="G51" s="21" t="s">
        <v>23</v>
      </c>
      <c r="H51" s="21">
        <f>IFERROR(VLOOKUP(G51,Variables!$A$14:$E$18,5,0),"")</f>
        <v>2</v>
      </c>
      <c r="I51" s="21" t="str">
        <f t="shared" si="2"/>
        <v>2:2</v>
      </c>
      <c r="J51" s="21" t="str">
        <f>IFERROR(VLOOKUP(I51,Variables!$A$22:$B$47,2,FALSE()),"Por definir")</f>
        <v>MEDIO</v>
      </c>
      <c r="K51" s="31" t="s">
        <v>262</v>
      </c>
      <c r="L51" s="31" t="s">
        <v>277</v>
      </c>
      <c r="M51" s="21">
        <f t="shared" si="3"/>
        <v>4</v>
      </c>
      <c r="N51" s="31" t="s">
        <v>264</v>
      </c>
      <c r="O51" s="31" t="str">
        <f>IFERROR(VLOOKUP(J51,Variables!$A$51:$B$55,2,FALSE()),"")</f>
        <v>Riesgo manejable. Requiere medidas correctivas (60-90 días). Monitoreo trimestral.</v>
      </c>
    </row>
    <row r="52" spans="1:15" ht="90.75" customHeight="1" x14ac:dyDescent="0.35">
      <c r="A52" s="24" t="s">
        <v>278</v>
      </c>
      <c r="B52" s="25" t="s">
        <v>91</v>
      </c>
      <c r="C52" s="26" t="s">
        <v>279</v>
      </c>
      <c r="D52" s="27" t="s">
        <v>280</v>
      </c>
      <c r="E52" s="28" t="s">
        <v>8</v>
      </c>
      <c r="F52" s="28">
        <f>IFERROR(VLOOKUP(E52,Variables!$A$6:$E$10,5,0),"")</f>
        <v>4</v>
      </c>
      <c r="G52" s="28" t="s">
        <v>19</v>
      </c>
      <c r="H52" s="28">
        <f>IFERROR(VLOOKUP(G52,Variables!$A$14:$E$18,5,0),"")</f>
        <v>4</v>
      </c>
      <c r="I52" s="28" t="str">
        <f t="shared" si="2"/>
        <v>4:4</v>
      </c>
      <c r="J52" s="28" t="str">
        <f>IFERROR(VLOOKUP(I52,Variables!$A$22:$B$47,2,FALSE()),"Por definir")</f>
        <v>CRÍTICO</v>
      </c>
      <c r="K52" s="26" t="s">
        <v>281</v>
      </c>
      <c r="L52" s="26" t="s">
        <v>282</v>
      </c>
      <c r="M52" s="28">
        <f t="shared" si="3"/>
        <v>16</v>
      </c>
      <c r="N52" s="26" t="s">
        <v>283</v>
      </c>
      <c r="O52" s="26" t="str">
        <f>IFERROR(VLOOKUP(J52,Variables!$A$51:$B$55,2,FALSE()),"")</f>
        <v>Riesgo inaceptable. Acción inmediata (0-30 días). Reporte obligatorio a JD y Oficial de Cumplimiento.</v>
      </c>
    </row>
    <row r="53" spans="1:15" ht="69" x14ac:dyDescent="0.35">
      <c r="A53" s="29" t="s">
        <v>453</v>
      </c>
      <c r="B53" s="30" t="s">
        <v>91</v>
      </c>
      <c r="C53" s="31" t="s">
        <v>245</v>
      </c>
      <c r="D53" s="32" t="s">
        <v>284</v>
      </c>
      <c r="E53" s="21" t="s">
        <v>10</v>
      </c>
      <c r="F53" s="21">
        <f>IFERROR(VLOOKUP(E53,Variables!$A$6:$E$10,5,0),"")</f>
        <v>3</v>
      </c>
      <c r="G53" s="21" t="s">
        <v>17</v>
      </c>
      <c r="H53" s="21">
        <f>IFERROR(VLOOKUP(G53,Variables!$A$14:$E$18,5,0),"")</f>
        <v>5</v>
      </c>
      <c r="I53" s="21" t="str">
        <f t="shared" si="2"/>
        <v>3:5</v>
      </c>
      <c r="J53" s="21" t="str">
        <f>IFERROR(VLOOKUP(I53,Variables!$A$22:$B$47,2,FALSE()),"Por definir")</f>
        <v>CRÍTICO</v>
      </c>
      <c r="K53" s="31" t="s">
        <v>281</v>
      </c>
      <c r="L53" s="31" t="s">
        <v>285</v>
      </c>
      <c r="M53" s="21">
        <f t="shared" si="3"/>
        <v>15</v>
      </c>
      <c r="N53" s="31" t="s">
        <v>286</v>
      </c>
      <c r="O53" s="31" t="str">
        <f>IFERROR(VLOOKUP(J53,Variables!$A$51:$B$55,2,FALSE()),"")</f>
        <v>Riesgo inaceptable. Acción inmediata (0-30 días). Reporte obligatorio a JD y Oficial de Cumplimiento.</v>
      </c>
    </row>
    <row r="54" spans="1:15" ht="60" hidden="1" customHeight="1" x14ac:dyDescent="0.35">
      <c r="A54" s="24" t="s">
        <v>287</v>
      </c>
      <c r="B54" s="25" t="s">
        <v>91</v>
      </c>
      <c r="C54" s="26" t="s">
        <v>288</v>
      </c>
      <c r="D54" s="27" t="s">
        <v>116</v>
      </c>
      <c r="E54" s="28" t="s">
        <v>10</v>
      </c>
      <c r="F54" s="28">
        <f>IFERROR(VLOOKUP(E54,Variables!$A$6:$E$10,5,0),"")</f>
        <v>3</v>
      </c>
      <c r="G54" s="28" t="s">
        <v>21</v>
      </c>
      <c r="H54" s="28">
        <f>IFERROR(VLOOKUP(G54,Variables!$A$14:$E$18,5,0),"")</f>
        <v>3</v>
      </c>
      <c r="I54" s="28" t="str">
        <f t="shared" si="2"/>
        <v>3:3</v>
      </c>
      <c r="J54" s="28" t="str">
        <f>IFERROR(VLOOKUP(I54,Variables!$A$22:$B$47,2,FALSE()),"Por definir")</f>
        <v>MEDIO-ALTO</v>
      </c>
      <c r="K54" s="26" t="s">
        <v>281</v>
      </c>
      <c r="L54" s="26" t="s">
        <v>289</v>
      </c>
      <c r="M54" s="28">
        <f t="shared" si="3"/>
        <v>9</v>
      </c>
      <c r="N54" s="26" t="s">
        <v>283</v>
      </c>
      <c r="O54" s="26" t="str">
        <f>IFERROR(VLOOKUP(J54,Variables!$A$51:$B$55,2,FALSE()),"")</f>
        <v>Riesgo significativo. Requiere plan de acción formal (30-60 días). Monitoreo mensual.</v>
      </c>
    </row>
    <row r="55" spans="1:15" ht="103.5" hidden="1" customHeight="1" x14ac:dyDescent="0.35">
      <c r="A55" s="29" t="s">
        <v>290</v>
      </c>
      <c r="B55" s="30" t="s">
        <v>91</v>
      </c>
      <c r="C55" s="31" t="s">
        <v>291</v>
      </c>
      <c r="D55" s="32" t="s">
        <v>292</v>
      </c>
      <c r="E55" s="21" t="s">
        <v>10</v>
      </c>
      <c r="F55" s="21">
        <f>IFERROR(VLOOKUP(E55,Variables!$A$6:$E$10,5,0),"")</f>
        <v>3</v>
      </c>
      <c r="G55" s="21" t="s">
        <v>19</v>
      </c>
      <c r="H55" s="21">
        <f>IFERROR(VLOOKUP(G55,Variables!$A$14:$E$18,5,0),"")</f>
        <v>4</v>
      </c>
      <c r="I55" s="21" t="str">
        <f t="shared" si="2"/>
        <v>3:4</v>
      </c>
      <c r="J55" s="21" t="str">
        <f>IFERROR(VLOOKUP(I55,Variables!$A$22:$B$47,2,FALSE()),"Por definir")</f>
        <v>MEDIO-ALTO</v>
      </c>
      <c r="K55" s="31" t="s">
        <v>281</v>
      </c>
      <c r="L55" s="31" t="s">
        <v>293</v>
      </c>
      <c r="M55" s="21">
        <f t="shared" si="3"/>
        <v>12</v>
      </c>
      <c r="N55" s="31" t="s">
        <v>201</v>
      </c>
      <c r="O55" s="31" t="str">
        <f>IFERROR(VLOOKUP(J55,Variables!$A$51:$B$55,2,FALSE()),"")</f>
        <v>Riesgo significativo. Requiere plan de acción formal (30-60 días). Monitoreo mensual.</v>
      </c>
    </row>
    <row r="56" spans="1:15" ht="64.5" hidden="1" customHeight="1" x14ac:dyDescent="0.35">
      <c r="A56" s="24" t="s">
        <v>294</v>
      </c>
      <c r="B56" s="25" t="s">
        <v>91</v>
      </c>
      <c r="C56" s="26" t="s">
        <v>175</v>
      </c>
      <c r="D56" s="27" t="s">
        <v>295</v>
      </c>
      <c r="E56" s="28" t="s">
        <v>12</v>
      </c>
      <c r="F56" s="28">
        <f>IFERROR(VLOOKUP(E56,Variables!$A$6:$E$10,5,0),"")</f>
        <v>2</v>
      </c>
      <c r="G56" s="28" t="s">
        <v>21</v>
      </c>
      <c r="H56" s="28">
        <f>IFERROR(VLOOKUP(G56,Variables!$A$14:$E$18,5,0),"")</f>
        <v>3</v>
      </c>
      <c r="I56" s="28" t="str">
        <f t="shared" si="2"/>
        <v>2:3</v>
      </c>
      <c r="J56" s="28" t="str">
        <f>IFERROR(VLOOKUP(I56,Variables!$A$22:$B$47,2,FALSE()),"Por definir")</f>
        <v>MEDIO</v>
      </c>
      <c r="K56" s="26" t="s">
        <v>281</v>
      </c>
      <c r="L56" s="26" t="s">
        <v>296</v>
      </c>
      <c r="M56" s="28">
        <f t="shared" si="3"/>
        <v>6</v>
      </c>
      <c r="N56" s="26" t="s">
        <v>297</v>
      </c>
      <c r="O56" s="26" t="str">
        <f>IFERROR(VLOOKUP(J56,Variables!$A$51:$B$55,2,FALSE()),"")</f>
        <v>Riesgo manejable. Requiere medidas correctivas (60-90 días). Monitoreo trimestral.</v>
      </c>
    </row>
    <row r="57" spans="1:15" ht="64.5" hidden="1" customHeight="1" x14ac:dyDescent="0.35">
      <c r="A57" s="29" t="s">
        <v>298</v>
      </c>
      <c r="B57" s="30" t="s">
        <v>91</v>
      </c>
      <c r="C57" s="31" t="s">
        <v>299</v>
      </c>
      <c r="D57" s="32" t="s">
        <v>300</v>
      </c>
      <c r="E57" s="21" t="s">
        <v>12</v>
      </c>
      <c r="F57" s="21">
        <f>IFERROR(VLOOKUP(E57,Variables!$A$6:$E$10,5,0),"")</f>
        <v>2</v>
      </c>
      <c r="G57" s="21" t="s">
        <v>23</v>
      </c>
      <c r="H57" s="21">
        <f>IFERROR(VLOOKUP(G57,Variables!$A$14:$E$18,5,0),"")</f>
        <v>2</v>
      </c>
      <c r="I57" s="21" t="str">
        <f t="shared" si="2"/>
        <v>2:2</v>
      </c>
      <c r="J57" s="21" t="str">
        <f>IFERROR(VLOOKUP(I57,Variables!$A$22:$B$47,2,FALSE()),"Por definir")</f>
        <v>MEDIO</v>
      </c>
      <c r="K57" s="31" t="s">
        <v>281</v>
      </c>
      <c r="L57" s="31" t="s">
        <v>301</v>
      </c>
      <c r="M57" s="21">
        <f t="shared" si="3"/>
        <v>4</v>
      </c>
      <c r="N57" s="31" t="s">
        <v>139</v>
      </c>
      <c r="O57" s="31" t="str">
        <f>IFERROR(VLOOKUP(J57,Variables!$A$51:$B$55,2,FALSE()),"")</f>
        <v>Riesgo manejable. Requiere medidas correctivas (60-90 días). Monitoreo trimestral.</v>
      </c>
    </row>
    <row r="58" spans="1:15" ht="90.75" hidden="1" customHeight="1" x14ac:dyDescent="0.35">
      <c r="A58" s="24" t="s">
        <v>302</v>
      </c>
      <c r="B58" s="25" t="s">
        <v>91</v>
      </c>
      <c r="C58" s="26" t="s">
        <v>303</v>
      </c>
      <c r="D58" s="27" t="s">
        <v>304</v>
      </c>
      <c r="E58" s="28" t="s">
        <v>12</v>
      </c>
      <c r="F58" s="28">
        <f>IFERROR(VLOOKUP(E58,Variables!$A$6:$E$10,5,0),"")</f>
        <v>2</v>
      </c>
      <c r="G58" s="28" t="s">
        <v>21</v>
      </c>
      <c r="H58" s="28">
        <f>IFERROR(VLOOKUP(G58,Variables!$A$14:$E$18,5,0),"")</f>
        <v>3</v>
      </c>
      <c r="I58" s="28" t="str">
        <f t="shared" si="2"/>
        <v>2:3</v>
      </c>
      <c r="J58" s="28" t="str">
        <f>IFERROR(VLOOKUP(I58,Variables!$A$22:$B$47,2,FALSE()),"Por definir")</f>
        <v>MEDIO</v>
      </c>
      <c r="K58" s="26" t="s">
        <v>305</v>
      </c>
      <c r="L58" s="26" t="s">
        <v>306</v>
      </c>
      <c r="M58" s="28">
        <f t="shared" si="3"/>
        <v>6</v>
      </c>
      <c r="N58" s="26" t="s">
        <v>307</v>
      </c>
      <c r="O58" s="26" t="str">
        <f>IFERROR(VLOOKUP(J58,Variables!$A$51:$B$55,2,FALSE()),"")</f>
        <v>Riesgo manejable. Requiere medidas correctivas (60-90 días). Monitoreo trimestral.</v>
      </c>
    </row>
    <row r="59" spans="1:15" ht="64.5" hidden="1" customHeight="1" x14ac:dyDescent="0.35">
      <c r="A59" s="29" t="s">
        <v>308</v>
      </c>
      <c r="B59" s="30" t="s">
        <v>91</v>
      </c>
      <c r="C59" s="31" t="s">
        <v>309</v>
      </c>
      <c r="D59" s="32" t="s">
        <v>310</v>
      </c>
      <c r="E59" s="21" t="s">
        <v>8</v>
      </c>
      <c r="F59" s="21">
        <f>IFERROR(VLOOKUP(E59,Variables!$A$6:$E$10,5,0),"")</f>
        <v>4</v>
      </c>
      <c r="G59" s="21" t="s">
        <v>21</v>
      </c>
      <c r="H59" s="21">
        <f>IFERROR(VLOOKUP(G59,Variables!$A$14:$E$18,5,0),"")</f>
        <v>3</v>
      </c>
      <c r="I59" s="21" t="str">
        <f t="shared" si="2"/>
        <v>4:3</v>
      </c>
      <c r="J59" s="21" t="str">
        <f>IFERROR(VLOOKUP(I59,Variables!$A$22:$B$47,2,FALSE()),"Por definir")</f>
        <v>MEDIO-ALTO</v>
      </c>
      <c r="K59" s="31" t="s">
        <v>305</v>
      </c>
      <c r="L59" s="31" t="s">
        <v>311</v>
      </c>
      <c r="M59" s="21">
        <f t="shared" si="3"/>
        <v>12</v>
      </c>
      <c r="N59" s="31" t="s">
        <v>236</v>
      </c>
      <c r="O59" s="31" t="str">
        <f>IFERROR(VLOOKUP(J59,Variables!$A$51:$B$55,2,FALSE()),"")</f>
        <v>Riesgo significativo. Requiere plan de acción formal (30-60 días). Monitoreo mensual.</v>
      </c>
    </row>
    <row r="60" spans="1:15" ht="64.5" hidden="1" customHeight="1" x14ac:dyDescent="0.35">
      <c r="A60" s="24" t="s">
        <v>312</v>
      </c>
      <c r="B60" s="25" t="s">
        <v>91</v>
      </c>
      <c r="C60" s="26" t="s">
        <v>313</v>
      </c>
      <c r="D60" s="27" t="s">
        <v>125</v>
      </c>
      <c r="E60" s="28" t="s">
        <v>12</v>
      </c>
      <c r="F60" s="28">
        <f>IFERROR(VLOOKUP(E60,Variables!$A$6:$E$10,5,0),"")</f>
        <v>2</v>
      </c>
      <c r="G60" s="28" t="s">
        <v>21</v>
      </c>
      <c r="H60" s="28">
        <f>IFERROR(VLOOKUP(G60,Variables!$A$14:$E$18,5,0),"")</f>
        <v>3</v>
      </c>
      <c r="I60" s="28" t="str">
        <f t="shared" si="2"/>
        <v>2:3</v>
      </c>
      <c r="J60" s="28" t="str">
        <f>IFERROR(VLOOKUP(I60,Variables!$A$22:$B$47,2,FALSE()),"Por definir")</f>
        <v>MEDIO</v>
      </c>
      <c r="K60" s="26" t="s">
        <v>305</v>
      </c>
      <c r="L60" s="26" t="s">
        <v>314</v>
      </c>
      <c r="M60" s="28">
        <f t="shared" si="3"/>
        <v>6</v>
      </c>
      <c r="N60" s="26" t="s">
        <v>307</v>
      </c>
      <c r="O60" s="26" t="str">
        <f>IFERROR(VLOOKUP(J60,Variables!$A$51:$B$55,2,FALSE()),"")</f>
        <v>Riesgo manejable. Requiere medidas correctivas (60-90 días). Monitoreo trimestral.</v>
      </c>
    </row>
    <row r="61" spans="1:15" ht="60" hidden="1" customHeight="1" x14ac:dyDescent="0.35">
      <c r="A61" s="29" t="s">
        <v>315</v>
      </c>
      <c r="B61" s="30" t="s">
        <v>91</v>
      </c>
      <c r="C61" s="31" t="s">
        <v>316</v>
      </c>
      <c r="D61" s="32" t="s">
        <v>317</v>
      </c>
      <c r="E61" s="21" t="s">
        <v>10</v>
      </c>
      <c r="F61" s="21">
        <f>IFERROR(VLOOKUP(E61,Variables!$A$6:$E$10,5,0),"")</f>
        <v>3</v>
      </c>
      <c r="G61" s="21" t="s">
        <v>23</v>
      </c>
      <c r="H61" s="21">
        <f>IFERROR(VLOOKUP(G61,Variables!$A$14:$E$18,5,0),"")</f>
        <v>2</v>
      </c>
      <c r="I61" s="21" t="str">
        <f t="shared" si="2"/>
        <v>3:2</v>
      </c>
      <c r="J61" s="21" t="str">
        <f>IFERROR(VLOOKUP(I61,Variables!$A$22:$B$47,2,FALSE()),"Por definir")</f>
        <v>MEDIO</v>
      </c>
      <c r="K61" s="31" t="s">
        <v>305</v>
      </c>
      <c r="L61" s="31" t="s">
        <v>318</v>
      </c>
      <c r="M61" s="21">
        <f t="shared" si="3"/>
        <v>6</v>
      </c>
      <c r="N61" s="31" t="s">
        <v>139</v>
      </c>
      <c r="O61" s="31" t="str">
        <f>IFERROR(VLOOKUP(J61,Variables!$A$51:$B$55,2,FALSE()),"")</f>
        <v>Riesgo manejable. Requiere medidas correctivas (60-90 días). Monitoreo trimestral.</v>
      </c>
    </row>
    <row r="62" spans="1:15" ht="64.5" hidden="1" customHeight="1" x14ac:dyDescent="0.35">
      <c r="A62" s="24" t="s">
        <v>319</v>
      </c>
      <c r="B62" s="25" t="s">
        <v>91</v>
      </c>
      <c r="C62" s="26" t="s">
        <v>320</v>
      </c>
      <c r="D62" s="27" t="s">
        <v>125</v>
      </c>
      <c r="E62" s="28" t="s">
        <v>12</v>
      </c>
      <c r="F62" s="28">
        <f>IFERROR(VLOOKUP(E62,Variables!$A$6:$E$10,5,0),"")</f>
        <v>2</v>
      </c>
      <c r="G62" s="28" t="s">
        <v>23</v>
      </c>
      <c r="H62" s="28">
        <f>IFERROR(VLOOKUP(G62,Variables!$A$14:$E$18,5,0),"")</f>
        <v>2</v>
      </c>
      <c r="I62" s="28" t="str">
        <f t="shared" si="2"/>
        <v>2:2</v>
      </c>
      <c r="J62" s="28" t="str">
        <f>IFERROR(VLOOKUP(I62,Variables!$A$22:$B$47,2,FALSE()),"Por definir")</f>
        <v>MEDIO</v>
      </c>
      <c r="K62" s="26" t="s">
        <v>305</v>
      </c>
      <c r="L62" s="26" t="s">
        <v>321</v>
      </c>
      <c r="M62" s="28">
        <f t="shared" si="3"/>
        <v>4</v>
      </c>
      <c r="N62" s="26" t="s">
        <v>307</v>
      </c>
      <c r="O62" s="26" t="str">
        <f>IFERROR(VLOOKUP(J62,Variables!$A$51:$B$55,2,FALSE()),"")</f>
        <v>Riesgo manejable. Requiere medidas correctivas (60-90 días). Monitoreo trimestral.</v>
      </c>
    </row>
    <row r="63" spans="1:15" ht="64.5" hidden="1" customHeight="1" x14ac:dyDescent="0.35">
      <c r="A63" s="29" t="s">
        <v>322</v>
      </c>
      <c r="B63" s="30" t="s">
        <v>323</v>
      </c>
      <c r="C63" s="31" t="s">
        <v>324</v>
      </c>
      <c r="D63" s="32" t="s">
        <v>325</v>
      </c>
      <c r="E63" s="21" t="s">
        <v>12</v>
      </c>
      <c r="F63" s="21">
        <f>IFERROR(VLOOKUP(E63,Variables!$A$6:$E$10,5,0),"")</f>
        <v>2</v>
      </c>
      <c r="G63" s="21" t="s">
        <v>23</v>
      </c>
      <c r="H63" s="21">
        <f>IFERROR(VLOOKUP(G63,Variables!$A$14:$E$18,5,0),"")</f>
        <v>2</v>
      </c>
      <c r="I63" s="21" t="str">
        <f t="shared" si="2"/>
        <v>OM</v>
      </c>
      <c r="J63" s="21" t="str">
        <f>IFERROR(VLOOKUP(I63,Variables!$A$22:$B$47,2,FALSE()),"Por definir")</f>
        <v>OPT. DE MEJORA</v>
      </c>
      <c r="K63" s="31" t="s">
        <v>326</v>
      </c>
      <c r="L63" s="31" t="s">
        <v>327</v>
      </c>
      <c r="M63" s="21" t="str">
        <f t="shared" si="3"/>
        <v>N/A</v>
      </c>
      <c r="N63" s="31" t="s">
        <v>328</v>
      </c>
      <c r="O63" s="31" t="str">
        <f>IFERROR(VLOOKUP(J63,Variables!$A$51:$B$55,2,FALSE()),"")</f>
        <v>No es hallazgo de incumplimiento. Mejora preventiva o de adecuación normativa prospectiva.</v>
      </c>
    </row>
    <row r="64" spans="1:15" ht="60" hidden="1" customHeight="1" x14ac:dyDescent="0.35">
      <c r="A64" s="24" t="s">
        <v>329</v>
      </c>
      <c r="B64" s="25" t="s">
        <v>323</v>
      </c>
      <c r="C64" s="26" t="s">
        <v>330</v>
      </c>
      <c r="D64" s="27" t="s">
        <v>331</v>
      </c>
      <c r="E64" s="28" t="s">
        <v>12</v>
      </c>
      <c r="F64" s="28">
        <f>IFERROR(VLOOKUP(E64,Variables!$A$6:$E$10,5,0),"")</f>
        <v>2</v>
      </c>
      <c r="G64" s="28" t="s">
        <v>23</v>
      </c>
      <c r="H64" s="28">
        <f>IFERROR(VLOOKUP(G64,Variables!$A$14:$E$18,5,0),"")</f>
        <v>2</v>
      </c>
      <c r="I64" s="28" t="str">
        <f t="shared" si="2"/>
        <v>OM</v>
      </c>
      <c r="J64" s="28" t="str">
        <f>IFERROR(VLOOKUP(I64,Variables!$A$22:$B$47,2,FALSE()),"Por definir")</f>
        <v>OPT. DE MEJORA</v>
      </c>
      <c r="K64" s="26" t="s">
        <v>326</v>
      </c>
      <c r="L64" s="26" t="s">
        <v>327</v>
      </c>
      <c r="M64" s="28" t="str">
        <f t="shared" si="3"/>
        <v>N/A</v>
      </c>
      <c r="N64" s="26" t="s">
        <v>328</v>
      </c>
      <c r="O64" s="26" t="str">
        <f>IFERROR(VLOOKUP(J64,Variables!$A$51:$B$55,2,FALSE()),"")</f>
        <v>No es hallazgo de incumplimiento. Mejora preventiva o de adecuación normativa prospectiva.</v>
      </c>
    </row>
    <row r="65" spans="1:15" ht="64.5" hidden="1" customHeight="1" x14ac:dyDescent="0.35">
      <c r="A65" s="29" t="s">
        <v>332</v>
      </c>
      <c r="B65" s="30" t="s">
        <v>323</v>
      </c>
      <c r="C65" s="31" t="s">
        <v>333</v>
      </c>
      <c r="D65" s="32" t="s">
        <v>334</v>
      </c>
      <c r="E65" s="21" t="s">
        <v>12</v>
      </c>
      <c r="F65" s="21">
        <f>IFERROR(VLOOKUP(E65,Variables!$A$6:$E$10,5,0),"")</f>
        <v>2</v>
      </c>
      <c r="G65" s="21" t="s">
        <v>23</v>
      </c>
      <c r="H65" s="21">
        <f>IFERROR(VLOOKUP(G65,Variables!$A$14:$E$18,5,0),"")</f>
        <v>2</v>
      </c>
      <c r="I65" s="21" t="str">
        <f t="shared" si="2"/>
        <v>OM</v>
      </c>
      <c r="J65" s="21" t="str">
        <f>IFERROR(VLOOKUP(I65,Variables!$A$22:$B$47,2,FALSE()),"Por definir")</f>
        <v>OPT. DE MEJORA</v>
      </c>
      <c r="K65" s="31" t="s">
        <v>326</v>
      </c>
      <c r="L65" s="31" t="s">
        <v>327</v>
      </c>
      <c r="M65" s="21" t="str">
        <f t="shared" si="3"/>
        <v>N/A</v>
      </c>
      <c r="N65" s="31" t="s">
        <v>328</v>
      </c>
      <c r="O65" s="31" t="str">
        <f>IFERROR(VLOOKUP(J65,Variables!$A$51:$B$55,2,FALSE()),"")</f>
        <v>No es hallazgo de incumplimiento. Mejora preventiva o de adecuación normativa prospectiva.</v>
      </c>
    </row>
    <row r="66" spans="1:15" ht="78" hidden="1" customHeight="1" x14ac:dyDescent="0.35">
      <c r="A66" s="24" t="s">
        <v>335</v>
      </c>
      <c r="B66" s="25" t="s">
        <v>323</v>
      </c>
      <c r="C66" s="26" t="s">
        <v>336</v>
      </c>
      <c r="D66" s="27" t="s">
        <v>337</v>
      </c>
      <c r="E66" s="28" t="s">
        <v>10</v>
      </c>
      <c r="F66" s="28">
        <f>IFERROR(VLOOKUP(E66,Variables!$A$6:$E$10,5,0),"")</f>
        <v>3</v>
      </c>
      <c r="G66" s="28" t="s">
        <v>21</v>
      </c>
      <c r="H66" s="28">
        <f>IFERROR(VLOOKUP(G66,Variables!$A$14:$E$18,5,0),"")</f>
        <v>3</v>
      </c>
      <c r="I66" s="28" t="str">
        <f t="shared" si="2"/>
        <v>OM</v>
      </c>
      <c r="J66" s="28" t="str">
        <f>IFERROR(VLOOKUP(I66,Variables!$A$22:$B$47,2,FALSE()),"Por definir")</f>
        <v>OPT. DE MEJORA</v>
      </c>
      <c r="K66" s="26" t="s">
        <v>338</v>
      </c>
      <c r="L66" s="26" t="s">
        <v>339</v>
      </c>
      <c r="M66" s="28" t="str">
        <f t="shared" si="3"/>
        <v>N/A</v>
      </c>
      <c r="N66" s="26" t="s">
        <v>340</v>
      </c>
      <c r="O66" s="26" t="str">
        <f>IFERROR(VLOOKUP(J66,Variables!$A$51:$B$55,2,FALSE()),"")</f>
        <v>No es hallazgo de incumplimiento. Mejora preventiva o de adecuación normativa prospectiva.</v>
      </c>
    </row>
    <row r="67" spans="1:15" ht="60" hidden="1" customHeight="1" x14ac:dyDescent="0.35">
      <c r="A67" s="29" t="s">
        <v>341</v>
      </c>
      <c r="B67" s="30" t="s">
        <v>323</v>
      </c>
      <c r="C67" s="31" t="s">
        <v>342</v>
      </c>
      <c r="D67" s="32" t="s">
        <v>343</v>
      </c>
      <c r="E67" s="21" t="s">
        <v>10</v>
      </c>
      <c r="F67" s="21">
        <f>IFERROR(VLOOKUP(E67,Variables!$A$6:$E$10,5,0),"")</f>
        <v>3</v>
      </c>
      <c r="G67" s="21" t="s">
        <v>21</v>
      </c>
      <c r="H67" s="21">
        <f>IFERROR(VLOOKUP(G67,Variables!$A$14:$E$18,5,0),"")</f>
        <v>3</v>
      </c>
      <c r="I67" s="21" t="str">
        <f t="shared" si="2"/>
        <v>OM</v>
      </c>
      <c r="J67" s="21" t="str">
        <f>IFERROR(VLOOKUP(I67,Variables!$A$22:$B$47,2,FALSE()),"Por definir")</f>
        <v>OPT. DE MEJORA</v>
      </c>
      <c r="K67" s="31" t="s">
        <v>338</v>
      </c>
      <c r="L67" s="31" t="s">
        <v>339</v>
      </c>
      <c r="M67" s="21" t="str">
        <f t="shared" si="3"/>
        <v>N/A</v>
      </c>
      <c r="N67" s="31" t="s">
        <v>340</v>
      </c>
      <c r="O67" s="31" t="str">
        <f>IFERROR(VLOOKUP(J67,Variables!$A$51:$B$55,2,FALSE()),"")</f>
        <v>No es hallazgo de incumplimiento. Mejora preventiva o de adecuación normativa prospectiva.</v>
      </c>
    </row>
    <row r="68" spans="1:15" ht="60" hidden="1" customHeight="1" x14ac:dyDescent="0.35">
      <c r="A68" s="24" t="s">
        <v>344</v>
      </c>
      <c r="B68" s="25" t="s">
        <v>323</v>
      </c>
      <c r="C68" s="26" t="s">
        <v>342</v>
      </c>
      <c r="D68" s="27" t="s">
        <v>345</v>
      </c>
      <c r="E68" s="28" t="s">
        <v>10</v>
      </c>
      <c r="F68" s="28">
        <f>IFERROR(VLOOKUP(E68,Variables!$A$6:$E$10,5,0),"")</f>
        <v>3</v>
      </c>
      <c r="G68" s="28" t="s">
        <v>21</v>
      </c>
      <c r="H68" s="28">
        <f>IFERROR(VLOOKUP(G68,Variables!$A$14:$E$18,5,0),"")</f>
        <v>3</v>
      </c>
      <c r="I68" s="28" t="str">
        <f t="shared" ref="I68:I99" si="4">IF(B68="Oportunidad de Mejora","OM",IFERROR(CONCATENATE(F68,":",H68),""))</f>
        <v>OM</v>
      </c>
      <c r="J68" s="28" t="str">
        <f>IFERROR(VLOOKUP(I68,Variables!$A$22:$B$47,2,FALSE()),"Por definir")</f>
        <v>OPT. DE MEJORA</v>
      </c>
      <c r="K68" s="26" t="s">
        <v>338</v>
      </c>
      <c r="L68" s="26" t="s">
        <v>339</v>
      </c>
      <c r="M68" s="28" t="str">
        <f t="shared" ref="M68:M89" si="5">IF(I68="OM","N/A",IFERROR(F68*H68,""))</f>
        <v>N/A</v>
      </c>
      <c r="N68" s="26" t="s">
        <v>340</v>
      </c>
      <c r="O68" s="26" t="str">
        <f>IFERROR(VLOOKUP(J68,Variables!$A$51:$B$55,2,FALSE()),"")</f>
        <v>No es hallazgo de incumplimiento. Mejora preventiva o de adecuación normativa prospectiva.</v>
      </c>
    </row>
    <row r="69" spans="1:15" ht="60" hidden="1" customHeight="1" x14ac:dyDescent="0.35">
      <c r="A69" s="29" t="s">
        <v>346</v>
      </c>
      <c r="B69" s="30" t="s">
        <v>323</v>
      </c>
      <c r="C69" s="31" t="s">
        <v>347</v>
      </c>
      <c r="D69" s="32" t="s">
        <v>348</v>
      </c>
      <c r="E69" s="21" t="s">
        <v>12</v>
      </c>
      <c r="F69" s="21">
        <f>IFERROR(VLOOKUP(E69,Variables!$A$6:$E$10,5,0),"")</f>
        <v>2</v>
      </c>
      <c r="G69" s="21" t="s">
        <v>21</v>
      </c>
      <c r="H69" s="21">
        <f>IFERROR(VLOOKUP(G69,Variables!$A$14:$E$18,5,0),"")</f>
        <v>3</v>
      </c>
      <c r="I69" s="21" t="str">
        <f t="shared" si="4"/>
        <v>OM</v>
      </c>
      <c r="J69" s="21" t="str">
        <f>IFERROR(VLOOKUP(I69,Variables!$A$22:$B$47,2,FALSE()),"Por definir")</f>
        <v>OPT. DE MEJORA</v>
      </c>
      <c r="K69" s="31" t="s">
        <v>338</v>
      </c>
      <c r="L69" s="31" t="s">
        <v>339</v>
      </c>
      <c r="M69" s="21" t="str">
        <f t="shared" si="5"/>
        <v>N/A</v>
      </c>
      <c r="N69" s="31" t="s">
        <v>349</v>
      </c>
      <c r="O69" s="31" t="str">
        <f>IFERROR(VLOOKUP(J69,Variables!$A$51:$B$55,2,FALSE()),"")</f>
        <v>No es hallazgo de incumplimiento. Mejora preventiva o de adecuación normativa prospectiva.</v>
      </c>
    </row>
    <row r="70" spans="1:15" ht="60" hidden="1" customHeight="1" x14ac:dyDescent="0.35">
      <c r="A70" s="24" t="s">
        <v>350</v>
      </c>
      <c r="B70" s="25" t="s">
        <v>323</v>
      </c>
      <c r="C70" s="26" t="s">
        <v>351</v>
      </c>
      <c r="D70" s="27" t="s">
        <v>352</v>
      </c>
      <c r="E70" s="28" t="s">
        <v>12</v>
      </c>
      <c r="F70" s="28">
        <f>IFERROR(VLOOKUP(E70,Variables!$A$6:$E$10,5,0),"")</f>
        <v>2</v>
      </c>
      <c r="G70" s="28" t="s">
        <v>21</v>
      </c>
      <c r="H70" s="28">
        <f>IFERROR(VLOOKUP(G70,Variables!$A$14:$E$18,5,0),"")</f>
        <v>3</v>
      </c>
      <c r="I70" s="28" t="str">
        <f t="shared" si="4"/>
        <v>OM</v>
      </c>
      <c r="J70" s="28" t="str">
        <f>IFERROR(VLOOKUP(I70,Variables!$A$22:$B$47,2,FALSE()),"Por definir")</f>
        <v>OPT. DE MEJORA</v>
      </c>
      <c r="K70" s="26" t="s">
        <v>338</v>
      </c>
      <c r="L70" s="26" t="s">
        <v>339</v>
      </c>
      <c r="M70" s="28" t="str">
        <f t="shared" si="5"/>
        <v>N/A</v>
      </c>
      <c r="N70" s="26" t="s">
        <v>349</v>
      </c>
      <c r="O70" s="26" t="str">
        <f>IFERROR(VLOOKUP(J70,Variables!$A$51:$B$55,2,FALSE()),"")</f>
        <v>No es hallazgo de incumplimiento. Mejora preventiva o de adecuación normativa prospectiva.</v>
      </c>
    </row>
    <row r="71" spans="1:15" ht="64.5" hidden="1" customHeight="1" x14ac:dyDescent="0.35">
      <c r="A71" s="29" t="s">
        <v>353</v>
      </c>
      <c r="B71" s="30" t="s">
        <v>323</v>
      </c>
      <c r="C71" s="31" t="s">
        <v>354</v>
      </c>
      <c r="D71" s="32" t="s">
        <v>355</v>
      </c>
      <c r="E71" s="21" t="s">
        <v>12</v>
      </c>
      <c r="F71" s="21">
        <f>IFERROR(VLOOKUP(E71,Variables!$A$6:$E$10,5,0),"")</f>
        <v>2</v>
      </c>
      <c r="G71" s="21" t="s">
        <v>21</v>
      </c>
      <c r="H71" s="21">
        <f>IFERROR(VLOOKUP(G71,Variables!$A$14:$E$18,5,0),"")</f>
        <v>3</v>
      </c>
      <c r="I71" s="21" t="str">
        <f t="shared" si="4"/>
        <v>OM</v>
      </c>
      <c r="J71" s="21" t="str">
        <f>IFERROR(VLOOKUP(I71,Variables!$A$22:$B$47,2,FALSE()),"Por definir")</f>
        <v>OPT. DE MEJORA</v>
      </c>
      <c r="K71" s="31" t="s">
        <v>338</v>
      </c>
      <c r="L71" s="31" t="s">
        <v>339</v>
      </c>
      <c r="M71" s="21" t="str">
        <f t="shared" si="5"/>
        <v>N/A</v>
      </c>
      <c r="N71" s="31" t="s">
        <v>349</v>
      </c>
      <c r="O71" s="31" t="str">
        <f>IFERROR(VLOOKUP(J71,Variables!$A$51:$B$55,2,FALSE()),"")</f>
        <v>No es hallazgo de incumplimiento. Mejora preventiva o de adecuación normativa prospectiva.</v>
      </c>
    </row>
    <row r="72" spans="1:15" ht="60" hidden="1" customHeight="1" x14ac:dyDescent="0.35">
      <c r="A72" s="24" t="s">
        <v>356</v>
      </c>
      <c r="B72" s="25" t="s">
        <v>323</v>
      </c>
      <c r="C72" s="26" t="s">
        <v>354</v>
      </c>
      <c r="D72" s="27" t="s">
        <v>357</v>
      </c>
      <c r="E72" s="28" t="s">
        <v>12</v>
      </c>
      <c r="F72" s="28">
        <f>IFERROR(VLOOKUP(E72,Variables!$A$6:$E$10,5,0),"")</f>
        <v>2</v>
      </c>
      <c r="G72" s="28" t="s">
        <v>21</v>
      </c>
      <c r="H72" s="28">
        <f>IFERROR(VLOOKUP(G72,Variables!$A$14:$E$18,5,0),"")</f>
        <v>3</v>
      </c>
      <c r="I72" s="28" t="str">
        <f t="shared" si="4"/>
        <v>OM</v>
      </c>
      <c r="J72" s="28" t="str">
        <f>IFERROR(VLOOKUP(I72,Variables!$A$22:$B$47,2,FALSE()),"Por definir")</f>
        <v>OPT. DE MEJORA</v>
      </c>
      <c r="K72" s="26" t="s">
        <v>338</v>
      </c>
      <c r="L72" s="26" t="s">
        <v>339</v>
      </c>
      <c r="M72" s="28" t="str">
        <f t="shared" si="5"/>
        <v>N/A</v>
      </c>
      <c r="N72" s="26" t="s">
        <v>349</v>
      </c>
      <c r="O72" s="26" t="str">
        <f>IFERROR(VLOOKUP(J72,Variables!$A$51:$B$55,2,FALSE()),"")</f>
        <v>No es hallazgo de incumplimiento. Mejora preventiva o de adecuación normativa prospectiva.</v>
      </c>
    </row>
    <row r="73" spans="1:15" ht="60" hidden="1" customHeight="1" x14ac:dyDescent="0.35">
      <c r="A73" s="29" t="s">
        <v>358</v>
      </c>
      <c r="B73" s="30" t="s">
        <v>323</v>
      </c>
      <c r="C73" s="31" t="s">
        <v>359</v>
      </c>
      <c r="D73" s="32" t="s">
        <v>360</v>
      </c>
      <c r="E73" s="21" t="s">
        <v>10</v>
      </c>
      <c r="F73" s="21">
        <f>IFERROR(VLOOKUP(E73,Variables!$A$6:$E$10,5,0),"")</f>
        <v>3</v>
      </c>
      <c r="G73" s="21" t="s">
        <v>21</v>
      </c>
      <c r="H73" s="21">
        <f>IFERROR(VLOOKUP(G73,Variables!$A$14:$E$18,5,0),"")</f>
        <v>3</v>
      </c>
      <c r="I73" s="21" t="str">
        <f t="shared" si="4"/>
        <v>OM</v>
      </c>
      <c r="J73" s="21" t="str">
        <f>IFERROR(VLOOKUP(I73,Variables!$A$22:$B$47,2,FALSE()),"Por definir")</f>
        <v>OPT. DE MEJORA</v>
      </c>
      <c r="K73" s="31" t="s">
        <v>338</v>
      </c>
      <c r="L73" s="31" t="s">
        <v>339</v>
      </c>
      <c r="M73" s="21" t="str">
        <f t="shared" si="5"/>
        <v>N/A</v>
      </c>
      <c r="N73" s="31" t="s">
        <v>340</v>
      </c>
      <c r="O73" s="31" t="str">
        <f>IFERROR(VLOOKUP(J73,Variables!$A$51:$B$55,2,FALSE()),"")</f>
        <v>No es hallazgo de incumplimiento. Mejora preventiva o de adecuación normativa prospectiva.</v>
      </c>
    </row>
    <row r="74" spans="1:15" ht="60" hidden="1" customHeight="1" x14ac:dyDescent="0.35">
      <c r="A74" s="24" t="s">
        <v>361</v>
      </c>
      <c r="B74" s="25" t="s">
        <v>323</v>
      </c>
      <c r="C74" s="26" t="s">
        <v>359</v>
      </c>
      <c r="D74" s="27" t="s">
        <v>454</v>
      </c>
      <c r="E74" s="28" t="s">
        <v>12</v>
      </c>
      <c r="F74" s="28">
        <f>IFERROR(VLOOKUP(E74,Variables!$A$6:$E$10,5,0),"")</f>
        <v>2</v>
      </c>
      <c r="G74" s="28" t="s">
        <v>21</v>
      </c>
      <c r="H74" s="28">
        <f>IFERROR(VLOOKUP(G74,Variables!$A$14:$E$18,5,0),"")</f>
        <v>3</v>
      </c>
      <c r="I74" s="28" t="str">
        <f t="shared" si="4"/>
        <v>OM</v>
      </c>
      <c r="J74" s="28" t="str">
        <f>IFERROR(VLOOKUP(I74,Variables!$A$22:$B$47,2,FALSE()),"Por definir")</f>
        <v>OPT. DE MEJORA</v>
      </c>
      <c r="K74" s="26" t="s">
        <v>338</v>
      </c>
      <c r="L74" s="26" t="s">
        <v>339</v>
      </c>
      <c r="M74" s="28" t="str">
        <f t="shared" si="5"/>
        <v>N/A</v>
      </c>
      <c r="N74" s="26" t="s">
        <v>349</v>
      </c>
      <c r="O74" s="26" t="str">
        <f>IFERROR(VLOOKUP(J74,Variables!$A$51:$B$55,2,FALSE()),"")</f>
        <v>No es hallazgo de incumplimiento. Mejora preventiva o de adecuación normativa prospectiva.</v>
      </c>
    </row>
    <row r="75" spans="1:15" ht="60" hidden="1" customHeight="1" x14ac:dyDescent="0.35">
      <c r="A75" s="29" t="s">
        <v>362</v>
      </c>
      <c r="B75" s="30" t="s">
        <v>323</v>
      </c>
      <c r="C75" s="31" t="s">
        <v>359</v>
      </c>
      <c r="D75" s="32" t="s">
        <v>363</v>
      </c>
      <c r="E75" s="21" t="s">
        <v>12</v>
      </c>
      <c r="F75" s="21">
        <f>IFERROR(VLOOKUP(E75,Variables!$A$6:$E$10,5,0),"")</f>
        <v>2</v>
      </c>
      <c r="G75" s="21" t="s">
        <v>21</v>
      </c>
      <c r="H75" s="21">
        <f>IFERROR(VLOOKUP(G75,Variables!$A$14:$E$18,5,0),"")</f>
        <v>3</v>
      </c>
      <c r="I75" s="21" t="str">
        <f t="shared" si="4"/>
        <v>OM</v>
      </c>
      <c r="J75" s="21" t="str">
        <f>IFERROR(VLOOKUP(I75,Variables!$A$22:$B$47,2,FALSE()),"Por definir")</f>
        <v>OPT. DE MEJORA</v>
      </c>
      <c r="K75" s="31" t="s">
        <v>338</v>
      </c>
      <c r="L75" s="31" t="s">
        <v>339</v>
      </c>
      <c r="M75" s="21" t="str">
        <f t="shared" si="5"/>
        <v>N/A</v>
      </c>
      <c r="N75" s="31" t="s">
        <v>349</v>
      </c>
      <c r="O75" s="31" t="str">
        <f>IFERROR(VLOOKUP(J75,Variables!$A$51:$B$55,2,FALSE()),"")</f>
        <v>No es hallazgo de incumplimiento. Mejora preventiva o de adecuación normativa prospectiva.</v>
      </c>
    </row>
    <row r="76" spans="1:15" ht="60" hidden="1" customHeight="1" x14ac:dyDescent="0.35">
      <c r="A76" s="24" t="s">
        <v>364</v>
      </c>
      <c r="B76" s="25" t="s">
        <v>323</v>
      </c>
      <c r="C76" s="26" t="s">
        <v>359</v>
      </c>
      <c r="D76" s="27" t="s">
        <v>365</v>
      </c>
      <c r="E76" s="28" t="s">
        <v>10</v>
      </c>
      <c r="F76" s="28">
        <f>IFERROR(VLOOKUP(E76,Variables!$A$6:$E$10,5,0),"")</f>
        <v>3</v>
      </c>
      <c r="G76" s="28" t="s">
        <v>21</v>
      </c>
      <c r="H76" s="28">
        <f>IFERROR(VLOOKUP(G76,Variables!$A$14:$E$18,5,0),"")</f>
        <v>3</v>
      </c>
      <c r="I76" s="28" t="str">
        <f t="shared" si="4"/>
        <v>OM</v>
      </c>
      <c r="J76" s="28" t="str">
        <f>IFERROR(VLOOKUP(I76,Variables!$A$22:$B$47,2,FALSE()),"Por definir")</f>
        <v>OPT. DE MEJORA</v>
      </c>
      <c r="K76" s="26" t="s">
        <v>338</v>
      </c>
      <c r="L76" s="26" t="s">
        <v>339</v>
      </c>
      <c r="M76" s="28" t="str">
        <f t="shared" si="5"/>
        <v>N/A</v>
      </c>
      <c r="N76" s="26" t="s">
        <v>340</v>
      </c>
      <c r="O76" s="26" t="str">
        <f>IFERROR(VLOOKUP(J76,Variables!$A$51:$B$55,2,FALSE()),"")</f>
        <v>No es hallazgo de incumplimiento. Mejora preventiva o de adecuación normativa prospectiva.</v>
      </c>
    </row>
    <row r="77" spans="1:15" ht="60" hidden="1" customHeight="1" x14ac:dyDescent="0.35">
      <c r="A77" s="29" t="s">
        <v>366</v>
      </c>
      <c r="B77" s="30" t="s">
        <v>323</v>
      </c>
      <c r="C77" s="31" t="s">
        <v>359</v>
      </c>
      <c r="D77" s="32" t="s">
        <v>367</v>
      </c>
      <c r="E77" s="21" t="s">
        <v>12</v>
      </c>
      <c r="F77" s="21">
        <f>IFERROR(VLOOKUP(E77,Variables!$A$6:$E$10,5,0),"")</f>
        <v>2</v>
      </c>
      <c r="G77" s="21" t="s">
        <v>21</v>
      </c>
      <c r="H77" s="21">
        <f>IFERROR(VLOOKUP(G77,Variables!$A$14:$E$18,5,0),"")</f>
        <v>3</v>
      </c>
      <c r="I77" s="21" t="str">
        <f t="shared" si="4"/>
        <v>OM</v>
      </c>
      <c r="J77" s="21" t="str">
        <f>IFERROR(VLOOKUP(I77,Variables!$A$22:$B$47,2,FALSE()),"Por definir")</f>
        <v>OPT. DE MEJORA</v>
      </c>
      <c r="K77" s="31" t="s">
        <v>338</v>
      </c>
      <c r="L77" s="31" t="s">
        <v>339</v>
      </c>
      <c r="M77" s="21" t="str">
        <f t="shared" si="5"/>
        <v>N/A</v>
      </c>
      <c r="N77" s="31" t="s">
        <v>349</v>
      </c>
      <c r="O77" s="31" t="str">
        <f>IFERROR(VLOOKUP(J77,Variables!$A$51:$B$55,2,FALSE()),"")</f>
        <v>No es hallazgo de incumplimiento. Mejora preventiva o de adecuación normativa prospectiva.</v>
      </c>
    </row>
    <row r="78" spans="1:15" ht="60" hidden="1" customHeight="1" x14ac:dyDescent="0.35">
      <c r="A78" s="24" t="s">
        <v>368</v>
      </c>
      <c r="B78" s="25" t="s">
        <v>323</v>
      </c>
      <c r="C78" s="26" t="s">
        <v>359</v>
      </c>
      <c r="D78" s="27" t="s">
        <v>369</v>
      </c>
      <c r="E78" s="28" t="s">
        <v>12</v>
      </c>
      <c r="F78" s="28">
        <f>IFERROR(VLOOKUP(E78,Variables!$A$6:$E$10,5,0),"")</f>
        <v>2</v>
      </c>
      <c r="G78" s="28" t="s">
        <v>21</v>
      </c>
      <c r="H78" s="28">
        <f>IFERROR(VLOOKUP(G78,Variables!$A$14:$E$18,5,0),"")</f>
        <v>3</v>
      </c>
      <c r="I78" s="28" t="str">
        <f t="shared" si="4"/>
        <v>OM</v>
      </c>
      <c r="J78" s="28" t="str">
        <f>IFERROR(VLOOKUP(I78,Variables!$A$22:$B$47,2,FALSE()),"Por definir")</f>
        <v>OPT. DE MEJORA</v>
      </c>
      <c r="K78" s="26" t="s">
        <v>338</v>
      </c>
      <c r="L78" s="26" t="s">
        <v>339</v>
      </c>
      <c r="M78" s="28" t="str">
        <f t="shared" si="5"/>
        <v>N/A</v>
      </c>
      <c r="N78" s="26" t="s">
        <v>349</v>
      </c>
      <c r="O78" s="26" t="str">
        <f>IFERROR(VLOOKUP(J78,Variables!$A$51:$B$55,2,FALSE()),"")</f>
        <v>No es hallazgo de incumplimiento. Mejora preventiva o de adecuación normativa prospectiva.</v>
      </c>
    </row>
    <row r="79" spans="1:15" ht="60" hidden="1" customHeight="1" x14ac:dyDescent="0.35">
      <c r="A79" s="29" t="s">
        <v>370</v>
      </c>
      <c r="B79" s="30" t="s">
        <v>323</v>
      </c>
      <c r="C79" s="31" t="s">
        <v>354</v>
      </c>
      <c r="D79" s="32" t="s">
        <v>371</v>
      </c>
      <c r="E79" s="21" t="s">
        <v>12</v>
      </c>
      <c r="F79" s="21">
        <f>IFERROR(VLOOKUP(E79,Variables!$A$6:$E$10,5,0),"")</f>
        <v>2</v>
      </c>
      <c r="G79" s="21" t="s">
        <v>23</v>
      </c>
      <c r="H79" s="21">
        <f>IFERROR(VLOOKUP(G79,Variables!$A$14:$E$18,5,0),"")</f>
        <v>2</v>
      </c>
      <c r="I79" s="21" t="str">
        <f t="shared" si="4"/>
        <v>OM</v>
      </c>
      <c r="J79" s="21" t="str">
        <f>IFERROR(VLOOKUP(I79,Variables!$A$22:$B$47,2,FALSE()),"Por definir")</f>
        <v>OPT. DE MEJORA</v>
      </c>
      <c r="K79" s="31" t="s">
        <v>338</v>
      </c>
      <c r="L79" s="31" t="s">
        <v>339</v>
      </c>
      <c r="M79" s="21" t="str">
        <f t="shared" si="5"/>
        <v>N/A</v>
      </c>
      <c r="N79" s="31" t="s">
        <v>372</v>
      </c>
      <c r="O79" s="31" t="str">
        <f>IFERROR(VLOOKUP(J79,Variables!$A$51:$B$55,2,FALSE()),"")</f>
        <v>No es hallazgo de incumplimiento. Mejora preventiva o de adecuación normativa prospectiva.</v>
      </c>
    </row>
    <row r="80" spans="1:15" ht="60" hidden="1" customHeight="1" x14ac:dyDescent="0.35">
      <c r="A80" s="24" t="s">
        <v>373</v>
      </c>
      <c r="B80" s="25" t="s">
        <v>323</v>
      </c>
      <c r="C80" s="26" t="s">
        <v>374</v>
      </c>
      <c r="D80" s="27" t="s">
        <v>375</v>
      </c>
      <c r="E80" s="28" t="s">
        <v>10</v>
      </c>
      <c r="F80" s="28">
        <f>IFERROR(VLOOKUP(E80,Variables!$A$6:$E$10,5,0),"")</f>
        <v>3</v>
      </c>
      <c r="G80" s="28" t="s">
        <v>21</v>
      </c>
      <c r="H80" s="28">
        <f>IFERROR(VLOOKUP(G80,Variables!$A$14:$E$18,5,0),"")</f>
        <v>3</v>
      </c>
      <c r="I80" s="28" t="str">
        <f t="shared" si="4"/>
        <v>OM</v>
      </c>
      <c r="J80" s="28" t="str">
        <f>IFERROR(VLOOKUP(I80,Variables!$A$22:$B$47,2,FALSE()),"Por definir")</f>
        <v>OPT. DE MEJORA</v>
      </c>
      <c r="K80" s="26" t="s">
        <v>338</v>
      </c>
      <c r="L80" s="26" t="s">
        <v>339</v>
      </c>
      <c r="M80" s="28" t="str">
        <f t="shared" si="5"/>
        <v>N/A</v>
      </c>
      <c r="N80" s="26" t="s">
        <v>340</v>
      </c>
      <c r="O80" s="26" t="str">
        <f>IFERROR(VLOOKUP(J80,Variables!$A$51:$B$55,2,FALSE()),"")</f>
        <v>No es hallazgo de incumplimiento. Mejora preventiva o de adecuación normativa prospectiva.</v>
      </c>
    </row>
    <row r="81" spans="1:15" ht="60" hidden="1" customHeight="1" x14ac:dyDescent="0.35">
      <c r="A81" s="29" t="s">
        <v>376</v>
      </c>
      <c r="B81" s="30" t="s">
        <v>323</v>
      </c>
      <c r="C81" s="31" t="s">
        <v>377</v>
      </c>
      <c r="D81" s="32" t="s">
        <v>378</v>
      </c>
      <c r="E81" s="21" t="s">
        <v>10</v>
      </c>
      <c r="F81" s="21">
        <f>IFERROR(VLOOKUP(E81,Variables!$A$6:$E$10,5,0),"")</f>
        <v>3</v>
      </c>
      <c r="G81" s="21" t="s">
        <v>21</v>
      </c>
      <c r="H81" s="21">
        <f>IFERROR(VLOOKUP(G81,Variables!$A$14:$E$18,5,0),"")</f>
        <v>3</v>
      </c>
      <c r="I81" s="21" t="str">
        <f t="shared" si="4"/>
        <v>OM</v>
      </c>
      <c r="J81" s="21" t="str">
        <f>IFERROR(VLOOKUP(I81,Variables!$A$22:$B$47,2,FALSE()),"Por definir")</f>
        <v>OPT. DE MEJORA</v>
      </c>
      <c r="K81" s="31" t="s">
        <v>338</v>
      </c>
      <c r="L81" s="31" t="s">
        <v>339</v>
      </c>
      <c r="M81" s="21" t="str">
        <f t="shared" si="5"/>
        <v>N/A</v>
      </c>
      <c r="N81" s="31" t="s">
        <v>340</v>
      </c>
      <c r="O81" s="31" t="str">
        <f>IFERROR(VLOOKUP(J81,Variables!$A$51:$B$55,2,FALSE()),"")</f>
        <v>No es hallazgo de incumplimiento. Mejora preventiva o de adecuación normativa prospectiva.</v>
      </c>
    </row>
    <row r="82" spans="1:15" ht="60" hidden="1" customHeight="1" x14ac:dyDescent="0.35">
      <c r="A82" s="24" t="s">
        <v>379</v>
      </c>
      <c r="B82" s="25" t="s">
        <v>323</v>
      </c>
      <c r="C82" s="26" t="s">
        <v>374</v>
      </c>
      <c r="D82" s="27" t="s">
        <v>380</v>
      </c>
      <c r="E82" s="28" t="s">
        <v>12</v>
      </c>
      <c r="F82" s="28">
        <f>IFERROR(VLOOKUP(E82,Variables!$A$6:$E$10,5,0),"")</f>
        <v>2</v>
      </c>
      <c r="G82" s="28" t="s">
        <v>21</v>
      </c>
      <c r="H82" s="28">
        <f>IFERROR(VLOOKUP(G82,Variables!$A$14:$E$18,5,0),"")</f>
        <v>3</v>
      </c>
      <c r="I82" s="28" t="str">
        <f t="shared" si="4"/>
        <v>OM</v>
      </c>
      <c r="J82" s="28" t="str">
        <f>IFERROR(VLOOKUP(I82,Variables!$A$22:$B$47,2,FALSE()),"Por definir")</f>
        <v>OPT. DE MEJORA</v>
      </c>
      <c r="K82" s="26" t="s">
        <v>338</v>
      </c>
      <c r="L82" s="26" t="s">
        <v>339</v>
      </c>
      <c r="M82" s="28" t="str">
        <f t="shared" si="5"/>
        <v>N/A</v>
      </c>
      <c r="N82" s="26" t="s">
        <v>349</v>
      </c>
      <c r="O82" s="26" t="str">
        <f>IFERROR(VLOOKUP(J82,Variables!$A$51:$B$55,2,FALSE()),"")</f>
        <v>No es hallazgo de incumplimiento. Mejora preventiva o de adecuación normativa prospectiva.</v>
      </c>
    </row>
    <row r="83" spans="1:15" ht="60" hidden="1" customHeight="1" x14ac:dyDescent="0.35">
      <c r="A83" s="29" t="s">
        <v>381</v>
      </c>
      <c r="B83" s="30" t="s">
        <v>323</v>
      </c>
      <c r="C83" s="31" t="s">
        <v>342</v>
      </c>
      <c r="D83" s="32" t="s">
        <v>382</v>
      </c>
      <c r="E83" s="21" t="s">
        <v>12</v>
      </c>
      <c r="F83" s="21">
        <f>IFERROR(VLOOKUP(E83,Variables!$A$6:$E$10,5,0),"")</f>
        <v>2</v>
      </c>
      <c r="G83" s="21" t="s">
        <v>21</v>
      </c>
      <c r="H83" s="21">
        <f>IFERROR(VLOOKUP(G83,Variables!$A$14:$E$18,5,0),"")</f>
        <v>3</v>
      </c>
      <c r="I83" s="21" t="str">
        <f t="shared" si="4"/>
        <v>OM</v>
      </c>
      <c r="J83" s="21" t="str">
        <f>IFERROR(VLOOKUP(I83,Variables!$A$22:$B$47,2,FALSE()),"Por definir")</f>
        <v>OPT. DE MEJORA</v>
      </c>
      <c r="K83" s="31" t="s">
        <v>338</v>
      </c>
      <c r="L83" s="31" t="s">
        <v>339</v>
      </c>
      <c r="M83" s="21" t="str">
        <f t="shared" si="5"/>
        <v>N/A</v>
      </c>
      <c r="N83" s="31" t="s">
        <v>349</v>
      </c>
      <c r="O83" s="31" t="str">
        <f>IFERROR(VLOOKUP(J83,Variables!$A$51:$B$55,2,FALSE()),"")</f>
        <v>No es hallazgo de incumplimiento. Mejora preventiva o de adecuación normativa prospectiva.</v>
      </c>
    </row>
    <row r="84" spans="1:15" ht="60" hidden="1" customHeight="1" x14ac:dyDescent="0.35">
      <c r="A84" s="24" t="s">
        <v>383</v>
      </c>
      <c r="B84" s="25" t="s">
        <v>323</v>
      </c>
      <c r="C84" s="26" t="s">
        <v>384</v>
      </c>
      <c r="D84" s="27" t="s">
        <v>385</v>
      </c>
      <c r="E84" s="28" t="s">
        <v>12</v>
      </c>
      <c r="F84" s="28">
        <f>IFERROR(VLOOKUP(E84,Variables!$A$6:$E$10,5,0),"")</f>
        <v>2</v>
      </c>
      <c r="G84" s="28" t="s">
        <v>21</v>
      </c>
      <c r="H84" s="28">
        <f>IFERROR(VLOOKUP(G84,Variables!$A$14:$E$18,5,0),"")</f>
        <v>3</v>
      </c>
      <c r="I84" s="28" t="str">
        <f t="shared" si="4"/>
        <v>OM</v>
      </c>
      <c r="J84" s="28" t="str">
        <f>IFERROR(VLOOKUP(I84,Variables!$A$22:$B$47,2,FALSE()),"Por definir")</f>
        <v>OPT. DE MEJORA</v>
      </c>
      <c r="K84" s="26" t="s">
        <v>338</v>
      </c>
      <c r="L84" s="26" t="s">
        <v>339</v>
      </c>
      <c r="M84" s="28" t="str">
        <f t="shared" si="5"/>
        <v>N/A</v>
      </c>
      <c r="N84" s="26" t="s">
        <v>349</v>
      </c>
      <c r="O84" s="26" t="str">
        <f>IFERROR(VLOOKUP(J84,Variables!$A$51:$B$55,2,FALSE()),"")</f>
        <v>No es hallazgo de incumplimiento. Mejora preventiva o de adecuación normativa prospectiva.</v>
      </c>
    </row>
    <row r="85" spans="1:15" ht="60" hidden="1" customHeight="1" x14ac:dyDescent="0.35">
      <c r="A85" s="29" t="s">
        <v>386</v>
      </c>
      <c r="B85" s="30" t="s">
        <v>323</v>
      </c>
      <c r="C85" s="31" t="s">
        <v>347</v>
      </c>
      <c r="D85" s="32" t="s">
        <v>387</v>
      </c>
      <c r="E85" s="21" t="s">
        <v>12</v>
      </c>
      <c r="F85" s="21">
        <f>IFERROR(VLOOKUP(E85,Variables!$A$6:$E$10,5,0),"")</f>
        <v>2</v>
      </c>
      <c r="G85" s="21" t="s">
        <v>21</v>
      </c>
      <c r="H85" s="21">
        <f>IFERROR(VLOOKUP(G85,Variables!$A$14:$E$18,5,0),"")</f>
        <v>3</v>
      </c>
      <c r="I85" s="21" t="str">
        <f t="shared" si="4"/>
        <v>OM</v>
      </c>
      <c r="J85" s="21" t="str">
        <f>IFERROR(VLOOKUP(I85,Variables!$A$22:$B$47,2,FALSE()),"Por definir")</f>
        <v>OPT. DE MEJORA</v>
      </c>
      <c r="K85" s="31" t="s">
        <v>338</v>
      </c>
      <c r="L85" s="31" t="s">
        <v>339</v>
      </c>
      <c r="M85" s="21" t="str">
        <f t="shared" si="5"/>
        <v>N/A</v>
      </c>
      <c r="N85" s="31" t="s">
        <v>349</v>
      </c>
      <c r="O85" s="31" t="str">
        <f>IFERROR(VLOOKUP(J85,Variables!$A$51:$B$55,2,FALSE()),"")</f>
        <v>No es hallazgo de incumplimiento. Mejora preventiva o de adecuación normativa prospectiva.</v>
      </c>
    </row>
    <row r="86" spans="1:15" ht="60" hidden="1" customHeight="1" x14ac:dyDescent="0.35">
      <c r="A86" s="24" t="s">
        <v>388</v>
      </c>
      <c r="B86" s="25" t="s">
        <v>323</v>
      </c>
      <c r="C86" s="26" t="s">
        <v>384</v>
      </c>
      <c r="D86" s="27" t="s">
        <v>389</v>
      </c>
      <c r="E86" s="28" t="s">
        <v>12</v>
      </c>
      <c r="F86" s="28">
        <f>IFERROR(VLOOKUP(E86,Variables!$A$6:$E$10,5,0),"")</f>
        <v>2</v>
      </c>
      <c r="G86" s="28" t="s">
        <v>23</v>
      </c>
      <c r="H86" s="28">
        <f>IFERROR(VLOOKUP(G86,Variables!$A$14:$E$18,5,0),"")</f>
        <v>2</v>
      </c>
      <c r="I86" s="28" t="str">
        <f t="shared" si="4"/>
        <v>OM</v>
      </c>
      <c r="J86" s="28" t="str">
        <f>IFERROR(VLOOKUP(I86,Variables!$A$22:$B$47,2,FALSE()),"Por definir")</f>
        <v>OPT. DE MEJORA</v>
      </c>
      <c r="K86" s="26" t="s">
        <v>338</v>
      </c>
      <c r="L86" s="26" t="s">
        <v>339</v>
      </c>
      <c r="M86" s="28" t="str">
        <f t="shared" si="5"/>
        <v>N/A</v>
      </c>
      <c r="N86" s="26" t="s">
        <v>372</v>
      </c>
      <c r="O86" s="26" t="str">
        <f>IFERROR(VLOOKUP(J86,Variables!$A$51:$B$55,2,FALSE()),"")</f>
        <v>No es hallazgo de incumplimiento. Mejora preventiva o de adecuación normativa prospectiva.</v>
      </c>
    </row>
    <row r="87" spans="1:15" ht="60" hidden="1" customHeight="1" x14ac:dyDescent="0.35">
      <c r="A87" s="29" t="s">
        <v>390</v>
      </c>
      <c r="B87" s="30" t="s">
        <v>323</v>
      </c>
      <c r="C87" s="31" t="s">
        <v>391</v>
      </c>
      <c r="D87" s="32" t="s">
        <v>392</v>
      </c>
      <c r="E87" s="21" t="s">
        <v>12</v>
      </c>
      <c r="F87" s="21">
        <f>IFERROR(VLOOKUP(E87,Variables!$A$6:$E$10,5,0),"")</f>
        <v>2</v>
      </c>
      <c r="G87" s="21" t="s">
        <v>23</v>
      </c>
      <c r="H87" s="21">
        <f>IFERROR(VLOOKUP(G87,Variables!$A$14:$E$18,5,0),"")</f>
        <v>2</v>
      </c>
      <c r="I87" s="21" t="str">
        <f t="shared" si="4"/>
        <v>OM</v>
      </c>
      <c r="J87" s="21" t="str">
        <f>IFERROR(VLOOKUP(I87,Variables!$A$22:$B$47,2,FALSE()),"Por definir")</f>
        <v>OPT. DE MEJORA</v>
      </c>
      <c r="K87" s="31" t="s">
        <v>338</v>
      </c>
      <c r="L87" s="31" t="s">
        <v>339</v>
      </c>
      <c r="M87" s="21" t="str">
        <f t="shared" si="5"/>
        <v>N/A</v>
      </c>
      <c r="N87" s="31" t="s">
        <v>372</v>
      </c>
      <c r="O87" s="31" t="str">
        <f>IFERROR(VLOOKUP(J87,Variables!$A$51:$B$55,2,FALSE()),"")</f>
        <v>No es hallazgo de incumplimiento. Mejora preventiva o de adecuación normativa prospectiva.</v>
      </c>
    </row>
    <row r="88" spans="1:15" ht="60" hidden="1" customHeight="1" x14ac:dyDescent="0.35">
      <c r="A88" s="24" t="s">
        <v>393</v>
      </c>
      <c r="B88" s="25" t="s">
        <v>323</v>
      </c>
      <c r="C88" s="26" t="s">
        <v>394</v>
      </c>
      <c r="D88" s="27" t="s">
        <v>395</v>
      </c>
      <c r="E88" s="28" t="s">
        <v>12</v>
      </c>
      <c r="F88" s="28">
        <f>IFERROR(VLOOKUP(E88,Variables!$A$6:$E$10,5,0),"")</f>
        <v>2</v>
      </c>
      <c r="G88" s="28" t="s">
        <v>23</v>
      </c>
      <c r="H88" s="28">
        <f>IFERROR(VLOOKUP(G88,Variables!$A$14:$E$18,5,0),"")</f>
        <v>2</v>
      </c>
      <c r="I88" s="28" t="str">
        <f t="shared" si="4"/>
        <v>OM</v>
      </c>
      <c r="J88" s="28" t="str">
        <f>IFERROR(VLOOKUP(I88,Variables!$A$22:$B$47,2,FALSE()),"Por definir")</f>
        <v>OPT. DE MEJORA</v>
      </c>
      <c r="K88" s="26" t="s">
        <v>338</v>
      </c>
      <c r="L88" s="26" t="s">
        <v>339</v>
      </c>
      <c r="M88" s="28" t="str">
        <f t="shared" si="5"/>
        <v>N/A</v>
      </c>
      <c r="N88" s="26" t="s">
        <v>372</v>
      </c>
      <c r="O88" s="26" t="str">
        <f>IFERROR(VLOOKUP(J88,Variables!$A$51:$B$55,2,FALSE()),"")</f>
        <v>No es hallazgo de incumplimiento. Mejora preventiva o de adecuación normativa prospectiva.</v>
      </c>
    </row>
    <row r="89" spans="1:15" ht="60" hidden="1" customHeight="1" x14ac:dyDescent="0.35">
      <c r="A89" s="29" t="s">
        <v>396</v>
      </c>
      <c r="B89" s="30" t="s">
        <v>323</v>
      </c>
      <c r="C89" s="31" t="s">
        <v>397</v>
      </c>
      <c r="D89" s="32" t="s">
        <v>398</v>
      </c>
      <c r="E89" s="21" t="s">
        <v>12</v>
      </c>
      <c r="F89" s="21">
        <f>IFERROR(VLOOKUP(E89,Variables!$A$6:$E$10,5,0),"")</f>
        <v>2</v>
      </c>
      <c r="G89" s="21" t="s">
        <v>21</v>
      </c>
      <c r="H89" s="21">
        <f>IFERROR(VLOOKUP(G89,Variables!$A$14:$E$18,5,0),"")</f>
        <v>3</v>
      </c>
      <c r="I89" s="21" t="str">
        <f t="shared" si="4"/>
        <v>OM</v>
      </c>
      <c r="J89" s="21" t="str">
        <f>IFERROR(VLOOKUP(I89,Variables!$A$22:$B$47,2,FALSE()),"Por definir")</f>
        <v>OPT. DE MEJORA</v>
      </c>
      <c r="K89" s="31" t="s">
        <v>338</v>
      </c>
      <c r="L89" s="31" t="s">
        <v>339</v>
      </c>
      <c r="M89" s="21" t="str">
        <f t="shared" si="5"/>
        <v>N/A</v>
      </c>
      <c r="N89" s="31" t="s">
        <v>349</v>
      </c>
      <c r="O89" s="31" t="str">
        <f>IFERROR(VLOOKUP(J89,Variables!$A$51:$B$55,2,FALSE()),"")</f>
        <v>No es hallazgo de incumplimiento. Mejora preventiva o de adecuación normativa prospectiva.</v>
      </c>
    </row>
  </sheetData>
  <autoFilter ref="A3:O89" xr:uid="{00000000-0009-0000-0000-000001000000}">
    <filterColumn colId="9">
      <filters>
        <filter val="CRÍTICO"/>
      </filters>
    </filterColumn>
  </autoFilter>
  <mergeCells count="2">
    <mergeCell ref="A1:O1"/>
    <mergeCell ref="A2:O2"/>
  </mergeCells>
  <conditionalFormatting sqref="A4:O120">
    <cfRule type="expression" dxfId="21" priority="7">
      <formula>$J4="CRÍTICO"</formula>
    </cfRule>
    <cfRule type="expression" dxfId="20" priority="8">
      <formula>$J4="MEDIO-ALTO"</formula>
    </cfRule>
    <cfRule type="expression" dxfId="19" priority="9">
      <formula>$J4="MEDIO"</formula>
    </cfRule>
    <cfRule type="expression" dxfId="18" priority="10">
      <formula>$J4="BAJO"</formula>
    </cfRule>
    <cfRule type="expression" dxfId="17" priority="11">
      <formula>$J4="OPT. DE MEJORA"</formula>
    </cfRule>
  </conditionalFormatting>
  <conditionalFormatting sqref="E4:H120">
    <cfRule type="expression" dxfId="16" priority="12">
      <formula>$J4="CRÍTICO"</formula>
    </cfRule>
    <cfRule type="expression" dxfId="15" priority="13">
      <formula>$J4="MEDIO-ALTO"</formula>
    </cfRule>
    <cfRule type="expression" dxfId="14" priority="14">
      <formula>$J4="MEDIO"</formula>
    </cfRule>
    <cfRule type="expression" dxfId="13" priority="15">
      <formula>$J4="BAJO"</formula>
    </cfRule>
    <cfRule type="expression" dxfId="12" priority="16">
      <formula>$J4="OPT. DE MEJORA"</formula>
    </cfRule>
  </conditionalFormatting>
  <conditionalFormatting sqref="J4:J120">
    <cfRule type="containsText" dxfId="11" priority="2" operator="containsText" text="CRÍTICO">
      <formula>NOT(ISERROR(SEARCH("CRÍTICO",J4)))</formula>
    </cfRule>
    <cfRule type="containsText" dxfId="10" priority="3" operator="containsText" text="MEDIO-ALTO">
      <formula>NOT(ISERROR(SEARCH("MEDIO-ALTO",J4)))</formula>
    </cfRule>
    <cfRule type="containsText" dxfId="9" priority="4" operator="containsText" text="MEDIO">
      <formula>NOT(ISERROR(SEARCH("MEDIO",J4)))</formula>
    </cfRule>
    <cfRule type="containsText" dxfId="8" priority="5" operator="containsText" text="BAJO">
      <formula>NOT(ISERROR(SEARCH("BAJO",J4)))</formula>
    </cfRule>
    <cfRule type="containsText" dxfId="7" priority="6" operator="containsText" text="OPT. DE MEJORA">
      <formula>NOT(ISERROR(SEARCH("OPT. DE MEJORA",J4)))</formula>
    </cfRule>
  </conditionalFormatting>
  <dataValidations count="1">
    <dataValidation type="list" allowBlank="1" sqref="B4:B120" xr:uid="{00000000-0002-0000-0100-000000000000}">
      <formula1>"Brecha,Oportunidad de Mejora"</formula1>
      <formula2>0</formula2>
    </dataValidation>
  </dataValidations>
  <pageMargins left="0.75" right="0.75" top="1" bottom="1" header="0.511811023622047" footer="0.511811023622047"/>
  <pageSetup paperSize="9" orientation="portrait" horizontalDpi="300" verticalDpi="300"/>
  <headerFooter>
    <oddHeader>&amp;C&amp;"Aptos"&amp;10&amp;KFF0000 CONFIDENCIAL&amp;1#_x000D_</oddHeader>
  </headerFooter>
  <extLst>
    <ext xmlns:x14="http://schemas.microsoft.com/office/spreadsheetml/2009/9/main" uri="{CCE6A557-97BC-4b89-ADB6-D9C93CAAB3DF}">
      <x14:dataValidations xmlns:xm="http://schemas.microsoft.com/office/excel/2006/main" count="2">
        <x14:dataValidation type="list" allowBlank="1" xr:uid="{00000000-0002-0000-0100-000001000000}">
          <x14:formula1>
            <xm:f>Variables!$A$6:$A$10</xm:f>
          </x14:formula1>
          <x14:formula2>
            <xm:f>0</xm:f>
          </x14:formula2>
          <xm:sqref>E4:E120</xm:sqref>
        </x14:dataValidation>
        <x14:dataValidation type="list" allowBlank="1" xr:uid="{00000000-0002-0000-0100-000002000000}">
          <x14:formula1>
            <xm:f>Variables!$A$14:$A$18</xm:f>
          </x14:formula1>
          <x14:formula2>
            <xm:f>0</xm:f>
          </x14:formula2>
          <xm:sqref>G4:G120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
  <sheetViews>
    <sheetView showGridLines="0" zoomScale="95" zoomScaleNormal="95" workbookViewId="0">
      <selection activeCell="O6" sqref="O6"/>
    </sheetView>
  </sheetViews>
  <sheetFormatPr baseColWidth="10" defaultColWidth="8.6328125" defaultRowHeight="14.5" x14ac:dyDescent="0.35"/>
  <cols>
    <col min="1" max="1" width="16" customWidth="1"/>
    <col min="2" max="2" width="10" customWidth="1"/>
    <col min="3" max="7" width="14" customWidth="1"/>
  </cols>
  <sheetData>
    <row r="1" spans="1:8" ht="31.5" customHeight="1" x14ac:dyDescent="0.35">
      <c r="A1" s="14" t="s">
        <v>399</v>
      </c>
      <c r="B1" s="14"/>
      <c r="C1" s="14"/>
      <c r="D1" s="14"/>
      <c r="E1" s="14"/>
      <c r="F1" s="14"/>
      <c r="G1" s="14"/>
      <c r="H1" s="14"/>
    </row>
    <row r="2" spans="1:8" ht="18" customHeight="1" x14ac:dyDescent="0.35">
      <c r="A2" s="13" t="s">
        <v>400</v>
      </c>
      <c r="B2" s="13"/>
      <c r="C2" s="13"/>
      <c r="D2" s="13"/>
      <c r="E2" s="13"/>
      <c r="F2" s="13"/>
      <c r="G2" s="13"/>
      <c r="H2" s="13"/>
    </row>
    <row r="3" spans="1:8" ht="39.75" customHeight="1" x14ac:dyDescent="0.35">
      <c r="A3" s="33" t="s">
        <v>401</v>
      </c>
      <c r="C3" s="15" t="s">
        <v>402</v>
      </c>
      <c r="D3" s="15" t="s">
        <v>403</v>
      </c>
      <c r="E3" s="15" t="s">
        <v>404</v>
      </c>
      <c r="F3" s="15" t="s">
        <v>405</v>
      </c>
      <c r="G3" s="15" t="s">
        <v>406</v>
      </c>
    </row>
    <row r="4" spans="1:8" ht="48" customHeight="1" x14ac:dyDescent="0.35">
      <c r="A4" s="15" t="s">
        <v>407</v>
      </c>
      <c r="B4" s="23">
        <v>5</v>
      </c>
      <c r="C4" s="34">
        <f>COUNTIF(Riesgos!$I$4:$I$120,"5:1")</f>
        <v>0</v>
      </c>
      <c r="D4" s="35">
        <f>COUNTIF(Riesgos!$I$4:$I$120,"5:2")</f>
        <v>0</v>
      </c>
      <c r="E4" s="36">
        <f>COUNTIF(Riesgos!$I$4:$I$120,"5:3")</f>
        <v>1</v>
      </c>
      <c r="F4" s="36">
        <f>COUNTIF(Riesgos!$I$4:$I$120,"5:4")</f>
        <v>1</v>
      </c>
      <c r="G4" s="36">
        <f>COUNTIF(Riesgos!$I$4:$I$120,"5:5")</f>
        <v>0</v>
      </c>
    </row>
    <row r="5" spans="1:8" ht="48" customHeight="1" x14ac:dyDescent="0.35">
      <c r="A5" s="15" t="s">
        <v>408</v>
      </c>
      <c r="B5" s="23">
        <v>4</v>
      </c>
      <c r="C5" s="34">
        <f>COUNTIF(Riesgos!$I$4:$I$120,"4:1")</f>
        <v>0</v>
      </c>
      <c r="D5" s="35">
        <f>COUNTIF(Riesgos!$I$4:$I$120,"4:2")</f>
        <v>0</v>
      </c>
      <c r="E5" s="35">
        <f>COUNTIF(Riesgos!$I$4:$I$120,"4:3")</f>
        <v>6</v>
      </c>
      <c r="F5" s="36">
        <f>COUNTIF(Riesgos!$I$4:$I$120,"4:4")</f>
        <v>5</v>
      </c>
      <c r="G5" s="36">
        <f>COUNTIF(Riesgos!$I$4:$I$120,"4:5")</f>
        <v>0</v>
      </c>
    </row>
    <row r="6" spans="1:8" ht="48" customHeight="1" x14ac:dyDescent="0.35">
      <c r="A6" s="15" t="s">
        <v>409</v>
      </c>
      <c r="B6" s="23">
        <v>3</v>
      </c>
      <c r="C6" s="37">
        <f>COUNTIF(Riesgos!$I$4:$I$120,"3:1")</f>
        <v>0</v>
      </c>
      <c r="D6" s="34">
        <f>COUNTIF(Riesgos!$I$4:$I$120,"3:2")</f>
        <v>11</v>
      </c>
      <c r="E6" s="35">
        <f>COUNTIF(Riesgos!$I$4:$I$120,"3:3")</f>
        <v>14</v>
      </c>
      <c r="F6" s="35">
        <f>COUNTIF(Riesgos!$I$4:$I$120,"3:4")</f>
        <v>1</v>
      </c>
      <c r="G6" s="36">
        <f>COUNTIF(Riesgos!$I$4:$I$120,"3:5")</f>
        <v>1</v>
      </c>
    </row>
    <row r="7" spans="1:8" ht="48" customHeight="1" x14ac:dyDescent="0.35">
      <c r="A7" s="15" t="s">
        <v>410</v>
      </c>
      <c r="B7" s="23">
        <v>2</v>
      </c>
      <c r="C7" s="37">
        <f>COUNTIF(Riesgos!$I$4:$I$120,"2:1")</f>
        <v>1</v>
      </c>
      <c r="D7" s="34">
        <f>COUNTIF(Riesgos!$I$4:$I$120,"2:2")</f>
        <v>7</v>
      </c>
      <c r="E7" s="34">
        <f>COUNTIF(Riesgos!$I$4:$I$120,"2:3")</f>
        <v>9</v>
      </c>
      <c r="F7" s="35">
        <f>COUNTIF(Riesgos!$I$4:$I$120,"2:4")</f>
        <v>1</v>
      </c>
      <c r="G7" s="35">
        <f>COUNTIF(Riesgos!$I$4:$I$120,"2:5")</f>
        <v>0</v>
      </c>
    </row>
    <row r="8" spans="1:8" ht="48" customHeight="1" x14ac:dyDescent="0.35">
      <c r="A8" s="15" t="s">
        <v>411</v>
      </c>
      <c r="B8" s="23">
        <v>1</v>
      </c>
      <c r="C8" s="37">
        <f>COUNTIF(Riesgos!$I$4:$I$120,"1:1")</f>
        <v>0</v>
      </c>
      <c r="D8" s="37">
        <f>COUNTIF(Riesgos!$I$4:$I$120,"1:2")</f>
        <v>1</v>
      </c>
      <c r="E8" s="37">
        <f>COUNTIF(Riesgos!$I$4:$I$120,"1:3")</f>
        <v>0</v>
      </c>
      <c r="F8" s="34">
        <f>COUNTIF(Riesgos!$I$4:$I$120,"1:4")</f>
        <v>0</v>
      </c>
      <c r="G8" s="34">
        <f>COUNTIF(Riesgos!$I$4:$I$120,"1:5")</f>
        <v>0</v>
      </c>
    </row>
    <row r="9" spans="1:8" ht="18" customHeight="1" x14ac:dyDescent="0.35">
      <c r="A9" s="38"/>
      <c r="B9" s="39" t="s">
        <v>412</v>
      </c>
      <c r="C9" s="33">
        <v>1</v>
      </c>
      <c r="D9" s="33">
        <v>2</v>
      </c>
      <c r="E9" s="33">
        <v>3</v>
      </c>
      <c r="F9" s="33">
        <v>4</v>
      </c>
      <c r="G9" s="33">
        <v>5</v>
      </c>
    </row>
    <row r="10" spans="1:8" ht="7.5" customHeight="1" x14ac:dyDescent="0.35"/>
    <row r="11" spans="1:8" ht="21.75" customHeight="1" x14ac:dyDescent="0.35">
      <c r="A11" s="12" t="s">
        <v>413</v>
      </c>
      <c r="B11" s="12"/>
      <c r="C11" s="12"/>
      <c r="D11" s="12"/>
      <c r="E11" s="12"/>
      <c r="F11" s="12"/>
      <c r="G11" s="12"/>
      <c r="H11" s="12"/>
    </row>
    <row r="12" spans="1:8" ht="21.75" customHeight="1" x14ac:dyDescent="0.35">
      <c r="A12" s="16" t="s">
        <v>36</v>
      </c>
      <c r="B12" s="16" t="s">
        <v>414</v>
      </c>
      <c r="C12" s="11" t="s">
        <v>415</v>
      </c>
      <c r="D12" s="11"/>
      <c r="E12" s="11"/>
      <c r="F12" s="11"/>
      <c r="G12" s="11"/>
      <c r="H12" s="11"/>
    </row>
    <row r="13" spans="1:8" ht="21.75" customHeight="1" x14ac:dyDescent="0.35">
      <c r="A13" s="17" t="s">
        <v>34</v>
      </c>
      <c r="B13" s="17" t="s">
        <v>416</v>
      </c>
      <c r="C13" s="11" t="s">
        <v>417</v>
      </c>
      <c r="D13" s="11"/>
      <c r="E13" s="11"/>
      <c r="F13" s="11"/>
      <c r="G13" s="11"/>
      <c r="H13" s="11"/>
    </row>
    <row r="14" spans="1:8" ht="21.75" customHeight="1" x14ac:dyDescent="0.35">
      <c r="A14" s="18" t="s">
        <v>32</v>
      </c>
      <c r="B14" s="18" t="s">
        <v>418</v>
      </c>
      <c r="C14" s="11" t="s">
        <v>419</v>
      </c>
      <c r="D14" s="11"/>
      <c r="E14" s="11"/>
      <c r="F14" s="11"/>
      <c r="G14" s="11"/>
      <c r="H14" s="11"/>
    </row>
    <row r="15" spans="1:8" ht="21.75" customHeight="1" x14ac:dyDescent="0.35">
      <c r="A15" s="19" t="s">
        <v>45</v>
      </c>
      <c r="B15" s="19" t="s">
        <v>420</v>
      </c>
      <c r="C15" s="11" t="s">
        <v>421</v>
      </c>
      <c r="D15" s="11"/>
      <c r="E15" s="11"/>
      <c r="F15" s="11"/>
      <c r="G15" s="11"/>
      <c r="H15" s="11"/>
    </row>
    <row r="16" spans="1:8" ht="21.75" customHeight="1" x14ac:dyDescent="0.35">
      <c r="A16" s="22" t="s">
        <v>61</v>
      </c>
      <c r="B16" s="22" t="s">
        <v>62</v>
      </c>
      <c r="C16" s="11" t="s">
        <v>422</v>
      </c>
      <c r="D16" s="11"/>
      <c r="E16" s="11"/>
      <c r="F16" s="11"/>
      <c r="G16" s="11"/>
      <c r="H16" s="11"/>
    </row>
    <row r="17" spans="1:8" ht="7.5" customHeight="1" x14ac:dyDescent="0.35"/>
    <row r="18" spans="1:8" ht="21.75" customHeight="1" x14ac:dyDescent="0.35">
      <c r="A18" s="12" t="s">
        <v>423</v>
      </c>
      <c r="B18" s="12"/>
      <c r="C18" s="12"/>
      <c r="D18" s="12"/>
      <c r="E18" s="12"/>
      <c r="F18" s="12"/>
      <c r="G18" s="12"/>
      <c r="H18" s="12"/>
    </row>
    <row r="19" spans="1:8" ht="24" customHeight="1" x14ac:dyDescent="0.35">
      <c r="A19" s="10" t="s">
        <v>424</v>
      </c>
      <c r="B19" s="10"/>
      <c r="C19" s="10"/>
      <c r="D19" s="10"/>
      <c r="E19" s="10"/>
      <c r="F19" s="10"/>
      <c r="G19" s="9">
        <f>COUNTIF(Riesgos!$J$4:$J$120,"CRÍTICO")</f>
        <v>8</v>
      </c>
      <c r="H19" s="9"/>
    </row>
    <row r="20" spans="1:8" ht="24" customHeight="1" x14ac:dyDescent="0.35">
      <c r="A20" s="10" t="s">
        <v>425</v>
      </c>
      <c r="B20" s="10"/>
      <c r="C20" s="10"/>
      <c r="D20" s="10"/>
      <c r="E20" s="10"/>
      <c r="F20" s="10"/>
      <c r="G20" s="8">
        <f>COUNTIF(Riesgos!$J$4:$J$120,"MEDIO-ALTO")</f>
        <v>22</v>
      </c>
      <c r="H20" s="8"/>
    </row>
    <row r="21" spans="1:8" ht="24" customHeight="1" x14ac:dyDescent="0.35">
      <c r="A21" s="10" t="s">
        <v>426</v>
      </c>
      <c r="B21" s="10"/>
      <c r="C21" s="10"/>
      <c r="D21" s="10"/>
      <c r="E21" s="10"/>
      <c r="F21" s="10"/>
      <c r="G21" s="7">
        <f>COUNTIF(Riesgos!$J$4:$J$120,"MEDIO")</f>
        <v>27</v>
      </c>
      <c r="H21" s="7"/>
    </row>
    <row r="22" spans="1:8" ht="24" customHeight="1" x14ac:dyDescent="0.35">
      <c r="A22" s="10" t="s">
        <v>427</v>
      </c>
      <c r="B22" s="10"/>
      <c r="C22" s="10"/>
      <c r="D22" s="10"/>
      <c r="E22" s="10"/>
      <c r="F22" s="10"/>
      <c r="G22" s="6">
        <f>COUNTIF(Riesgos!$J$4:$J$120,"BAJO")</f>
        <v>2</v>
      </c>
      <c r="H22" s="6"/>
    </row>
    <row r="23" spans="1:8" ht="24" customHeight="1" x14ac:dyDescent="0.35">
      <c r="A23" s="10" t="s">
        <v>428</v>
      </c>
      <c r="B23" s="10"/>
      <c r="C23" s="10"/>
      <c r="D23" s="10"/>
      <c r="E23" s="10"/>
      <c r="F23" s="10"/>
      <c r="G23" s="5">
        <f>COUNTIF(Riesgos!$J$4:$J$120,"OPT. DE MEJORA")</f>
        <v>27</v>
      </c>
      <c r="H23" s="5"/>
    </row>
    <row r="24" spans="1:8" ht="24" customHeight="1" x14ac:dyDescent="0.35">
      <c r="A24" s="10" t="s">
        <v>429</v>
      </c>
      <c r="B24" s="10"/>
      <c r="C24" s="10"/>
      <c r="D24" s="10"/>
      <c r="E24" s="10"/>
      <c r="F24" s="10"/>
      <c r="G24" s="4">
        <f>COUNTIF(Riesgos!$B$4:$B$120,"Brecha")</f>
        <v>59</v>
      </c>
      <c r="H24" s="4"/>
    </row>
    <row r="25" spans="1:8" ht="24" customHeight="1" x14ac:dyDescent="0.35">
      <c r="A25" s="10" t="s">
        <v>430</v>
      </c>
      <c r="B25" s="10"/>
      <c r="C25" s="10"/>
      <c r="D25" s="10"/>
      <c r="E25" s="10"/>
      <c r="F25" s="10"/>
      <c r="G25" s="3">
        <f>COUNTA(Riesgos!$A$4:$A$120)</f>
        <v>86</v>
      </c>
      <c r="H25" s="3"/>
    </row>
    <row r="27" spans="1:8" ht="14.25" customHeight="1" x14ac:dyDescent="0.35">
      <c r="A27" s="12" t="s">
        <v>431</v>
      </c>
      <c r="B27" s="12"/>
      <c r="C27" s="12"/>
      <c r="D27" s="12"/>
      <c r="E27" s="12"/>
      <c r="F27" s="12"/>
      <c r="G27" s="12"/>
      <c r="H27" s="12"/>
    </row>
    <row r="28" spans="1:8" ht="14.25" customHeight="1" x14ac:dyDescent="0.35">
      <c r="A28" s="2" t="s">
        <v>432</v>
      </c>
      <c r="B28" s="2"/>
      <c r="C28" s="2"/>
      <c r="D28" s="16" t="s">
        <v>36</v>
      </c>
      <c r="E28" s="17" t="s">
        <v>34</v>
      </c>
      <c r="F28" s="18" t="s">
        <v>32</v>
      </c>
      <c r="G28" s="40" t="s">
        <v>45</v>
      </c>
      <c r="H28" s="23" t="s">
        <v>433</v>
      </c>
    </row>
    <row r="29" spans="1:8" x14ac:dyDescent="0.35">
      <c r="A29" s="1" t="s">
        <v>94</v>
      </c>
      <c r="B29" s="1"/>
      <c r="C29" s="1"/>
      <c r="D29" s="41">
        <f>COUNTIFS(Riesgos!$K$4:$K$120,$A29,Riesgos!$J$4:$J$120,"CRÍTICO")</f>
        <v>1</v>
      </c>
      <c r="E29" s="41">
        <f>COUNTIFS(Riesgos!$K$4:$K$120,$A29,Riesgos!$J$4:$J$120,"MEDIO-ALTO")</f>
        <v>5</v>
      </c>
      <c r="F29" s="41">
        <f>COUNTIFS(Riesgos!$K$4:$K$120,$A29,Riesgos!$J$4:$J$120,"MEDIO")</f>
        <v>5</v>
      </c>
      <c r="G29" s="41">
        <f>COUNTIFS(Riesgos!$K$4:$K$120,$A29,Riesgos!$J$4:$J$120,"BAJO")</f>
        <v>0</v>
      </c>
      <c r="H29" s="42">
        <f t="shared" ref="H29:H36" si="0">SUM(D29:G29)</f>
        <v>11</v>
      </c>
    </row>
    <row r="30" spans="1:8" x14ac:dyDescent="0.35">
      <c r="A30" s="1" t="s">
        <v>143</v>
      </c>
      <c r="B30" s="1"/>
      <c r="C30" s="1"/>
      <c r="D30" s="41">
        <f>COUNTIFS(Riesgos!$K$4:$K$120,$A30,Riesgos!$J$4:$J$120,"CRÍTICO")</f>
        <v>0</v>
      </c>
      <c r="E30" s="41">
        <f>COUNTIFS(Riesgos!$K$4:$K$120,$A30,Riesgos!$J$4:$J$120,"MEDIO-ALTO")</f>
        <v>2</v>
      </c>
      <c r="F30" s="41">
        <f>COUNTIFS(Riesgos!$K$4:$K$120,$A30,Riesgos!$J$4:$J$120,"MEDIO")</f>
        <v>7</v>
      </c>
      <c r="G30" s="41">
        <f>COUNTIFS(Riesgos!$K$4:$K$120,$A30,Riesgos!$J$4:$J$120,"BAJO")</f>
        <v>1</v>
      </c>
      <c r="H30" s="42">
        <f t="shared" si="0"/>
        <v>10</v>
      </c>
    </row>
    <row r="31" spans="1:8" x14ac:dyDescent="0.35">
      <c r="A31" s="1" t="s">
        <v>180</v>
      </c>
      <c r="B31" s="1"/>
      <c r="C31" s="1"/>
      <c r="D31" s="41">
        <f>COUNTIFS(Riesgos!$K$4:$K$120,$A31,Riesgos!$J$4:$J$120,"CRÍTICO")</f>
        <v>0</v>
      </c>
      <c r="E31" s="41">
        <f>COUNTIFS(Riesgos!$K$4:$K$120,$A31,Riesgos!$J$4:$J$120,"MEDIO-ALTO")</f>
        <v>2</v>
      </c>
      <c r="F31" s="41">
        <f>COUNTIFS(Riesgos!$K$4:$K$120,$A31,Riesgos!$J$4:$J$120,"MEDIO")</f>
        <v>4</v>
      </c>
      <c r="G31" s="41">
        <f>COUNTIFS(Riesgos!$K$4:$K$120,$A31,Riesgos!$J$4:$J$120,"BAJO")</f>
        <v>0</v>
      </c>
      <c r="H31" s="42">
        <f t="shared" si="0"/>
        <v>6</v>
      </c>
    </row>
    <row r="32" spans="1:8" x14ac:dyDescent="0.35">
      <c r="A32" s="1" t="s">
        <v>204</v>
      </c>
      <c r="B32" s="1"/>
      <c r="C32" s="1"/>
      <c r="D32" s="41">
        <f>COUNTIFS(Riesgos!$K$4:$K$120,$A32,Riesgos!$J$4:$J$120,"CRÍTICO")</f>
        <v>1</v>
      </c>
      <c r="E32" s="41">
        <f>COUNTIFS(Riesgos!$K$4:$K$120,$A32,Riesgos!$J$4:$J$120,"MEDIO-ALTO")</f>
        <v>5</v>
      </c>
      <c r="F32" s="41">
        <f>COUNTIFS(Riesgos!$K$4:$K$120,$A32,Riesgos!$J$4:$J$120,"MEDIO")</f>
        <v>1</v>
      </c>
      <c r="G32" s="41">
        <f>COUNTIFS(Riesgos!$K$4:$K$120,$A32,Riesgos!$J$4:$J$120,"BAJO")</f>
        <v>1</v>
      </c>
      <c r="H32" s="42">
        <f t="shared" si="0"/>
        <v>8</v>
      </c>
    </row>
    <row r="33" spans="1:8" x14ac:dyDescent="0.35">
      <c r="A33" s="1" t="s">
        <v>234</v>
      </c>
      <c r="B33" s="1"/>
      <c r="C33" s="1"/>
      <c r="D33" s="41">
        <f>COUNTIFS(Riesgos!$K$4:$K$120,$A33,Riesgos!$J$4:$J$120,"CRÍTICO")</f>
        <v>3</v>
      </c>
      <c r="E33" s="41">
        <f>COUNTIFS(Riesgos!$K$4:$K$120,$A33,Riesgos!$J$4:$J$120,"MEDIO-ALTO")</f>
        <v>4</v>
      </c>
      <c r="F33" s="41">
        <f>COUNTIFS(Riesgos!$K$4:$K$120,$A33,Riesgos!$J$4:$J$120,"MEDIO")</f>
        <v>1</v>
      </c>
      <c r="G33" s="41">
        <f>COUNTIFS(Riesgos!$K$4:$K$120,$A33,Riesgos!$J$4:$J$120,"BAJO")</f>
        <v>0</v>
      </c>
      <c r="H33" s="42">
        <f t="shared" si="0"/>
        <v>8</v>
      </c>
    </row>
    <row r="34" spans="1:8" x14ac:dyDescent="0.35">
      <c r="A34" s="1" t="s">
        <v>262</v>
      </c>
      <c r="B34" s="1"/>
      <c r="C34" s="1"/>
      <c r="D34" s="41">
        <f>COUNTIFS(Riesgos!$K$4:$K$120,$A34,Riesgos!$J$4:$J$120,"CRÍTICO")</f>
        <v>1</v>
      </c>
      <c r="E34" s="41">
        <f>COUNTIFS(Riesgos!$K$4:$K$120,$A34,Riesgos!$J$4:$J$120,"MEDIO-ALTO")</f>
        <v>1</v>
      </c>
      <c r="F34" s="41">
        <f>COUNTIFS(Riesgos!$K$4:$K$120,$A34,Riesgos!$J$4:$J$120,"MEDIO")</f>
        <v>3</v>
      </c>
      <c r="G34" s="41">
        <f>COUNTIFS(Riesgos!$K$4:$K$120,$A34,Riesgos!$J$4:$J$120,"BAJO")</f>
        <v>0</v>
      </c>
      <c r="H34" s="42">
        <f t="shared" si="0"/>
        <v>5</v>
      </c>
    </row>
    <row r="35" spans="1:8" x14ac:dyDescent="0.35">
      <c r="A35" s="1" t="s">
        <v>281</v>
      </c>
      <c r="B35" s="1"/>
      <c r="C35" s="1"/>
      <c r="D35" s="41">
        <f>COUNTIFS(Riesgos!$K$4:$K$120,$A35,Riesgos!$J$4:$J$120,"CRÍTICO")</f>
        <v>2</v>
      </c>
      <c r="E35" s="41">
        <f>COUNTIFS(Riesgos!$K$4:$K$120,$A35,Riesgos!$J$4:$J$120,"MEDIO-ALTO")</f>
        <v>2</v>
      </c>
      <c r="F35" s="41">
        <f>COUNTIFS(Riesgos!$K$4:$K$120,$A35,Riesgos!$J$4:$J$120,"MEDIO")</f>
        <v>2</v>
      </c>
      <c r="G35" s="41">
        <f>COUNTIFS(Riesgos!$K$4:$K$120,$A35,Riesgos!$J$4:$J$120,"BAJO")</f>
        <v>0</v>
      </c>
      <c r="H35" s="42">
        <f t="shared" si="0"/>
        <v>6</v>
      </c>
    </row>
    <row r="36" spans="1:8" x14ac:dyDescent="0.35">
      <c r="A36" s="1" t="s">
        <v>305</v>
      </c>
      <c r="B36" s="1"/>
      <c r="C36" s="1"/>
      <c r="D36" s="41">
        <f>COUNTIFS(Riesgos!$K$4:$K$120,$A36,Riesgos!$J$4:$J$120,"CRÍTICO")</f>
        <v>0</v>
      </c>
      <c r="E36" s="41">
        <f>COUNTIFS(Riesgos!$K$4:$K$120,$A36,Riesgos!$J$4:$J$120,"MEDIO-ALTO")</f>
        <v>1</v>
      </c>
      <c r="F36" s="41">
        <f>COUNTIFS(Riesgos!$K$4:$K$120,$A36,Riesgos!$J$4:$J$120,"MEDIO")</f>
        <v>4</v>
      </c>
      <c r="G36" s="41">
        <f>COUNTIFS(Riesgos!$K$4:$K$120,$A36,Riesgos!$J$4:$J$120,"BAJO")</f>
        <v>0</v>
      </c>
      <c r="H36" s="42">
        <f t="shared" si="0"/>
        <v>5</v>
      </c>
    </row>
    <row r="37" spans="1:8" x14ac:dyDescent="0.35">
      <c r="A37" s="44" t="s">
        <v>433</v>
      </c>
      <c r="B37" s="44"/>
      <c r="C37" s="44"/>
      <c r="D37" s="43">
        <f>SUM(D29:D36)</f>
        <v>8</v>
      </c>
      <c r="E37" s="43">
        <f>SUM(E29:E36)</f>
        <v>22</v>
      </c>
      <c r="F37" s="43">
        <f>SUM(F29:F36)</f>
        <v>27</v>
      </c>
      <c r="G37" s="43">
        <f>SUM(G29:G36)</f>
        <v>2</v>
      </c>
      <c r="H37" s="43">
        <f>SUM(H29:H36)</f>
        <v>59</v>
      </c>
    </row>
    <row r="39" spans="1:8" ht="30" customHeight="1" x14ac:dyDescent="0.35">
      <c r="A39" s="45" t="s">
        <v>434</v>
      </c>
      <c r="B39" s="45"/>
      <c r="C39" s="45"/>
      <c r="D39" s="45"/>
      <c r="E39" s="45"/>
      <c r="F39" s="45"/>
      <c r="G39" s="45"/>
      <c r="H39" s="45"/>
    </row>
  </sheetData>
  <mergeCells count="35">
    <mergeCell ref="A37:C37"/>
    <mergeCell ref="A39:H39"/>
    <mergeCell ref="A32:C32"/>
    <mergeCell ref="A33:C33"/>
    <mergeCell ref="A34:C34"/>
    <mergeCell ref="A35:C35"/>
    <mergeCell ref="A36:C36"/>
    <mergeCell ref="A27:H27"/>
    <mergeCell ref="A28:C28"/>
    <mergeCell ref="A29:C29"/>
    <mergeCell ref="A30:C30"/>
    <mergeCell ref="A31:C31"/>
    <mergeCell ref="A23:F23"/>
    <mergeCell ref="G23:H23"/>
    <mergeCell ref="A24:F24"/>
    <mergeCell ref="G24:H24"/>
    <mergeCell ref="A25:F25"/>
    <mergeCell ref="G25:H25"/>
    <mergeCell ref="A20:F20"/>
    <mergeCell ref="G20:H20"/>
    <mergeCell ref="A21:F21"/>
    <mergeCell ref="G21:H21"/>
    <mergeCell ref="A22:F22"/>
    <mergeCell ref="G22:H22"/>
    <mergeCell ref="C14:H14"/>
    <mergeCell ref="C15:H15"/>
    <mergeCell ref="C16:H16"/>
    <mergeCell ref="A18:H18"/>
    <mergeCell ref="A19:F19"/>
    <mergeCell ref="G19:H19"/>
    <mergeCell ref="A1:H1"/>
    <mergeCell ref="A2:H2"/>
    <mergeCell ref="A11:H11"/>
    <mergeCell ref="C12:H12"/>
    <mergeCell ref="C13:H13"/>
  </mergeCells>
  <pageMargins left="0.75" right="0.75" top="1" bottom="1" header="0.511811023622047" footer="0.511811023622047"/>
  <pageSetup paperSize="9" orientation="portrait" horizontalDpi="300" verticalDpi="300"/>
  <headerFooter>
    <oddHeader>&amp;C&amp;"Aptos"&amp;10&amp;KFF0000 CONFIDENCIAL&amp;1#_x000D_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338F-E335-4537-B0FF-6CB11B63F9CC}">
  <dimension ref="A1:J34"/>
  <sheetViews>
    <sheetView workbookViewId="0">
      <pane ySplit="3" topLeftCell="A4" activePane="bottomLeft" state="frozen"/>
      <selection pane="bottomLeft" activeCell="J12" sqref="J12"/>
    </sheetView>
  </sheetViews>
  <sheetFormatPr baseColWidth="10" defaultRowHeight="14.5" x14ac:dyDescent="0.35"/>
  <cols>
    <col min="1" max="1" width="9.453125" customWidth="1"/>
    <col min="2" max="2" width="82.7265625" customWidth="1"/>
    <col min="3" max="3" width="14.1796875" customWidth="1"/>
    <col min="4" max="4" width="13" customWidth="1"/>
    <col min="5" max="5" width="30.7265625" customWidth="1"/>
    <col min="6" max="6" width="23.6328125" customWidth="1"/>
    <col min="7" max="7" width="40.1796875" customWidth="1"/>
    <col min="8" max="8" width="14.1796875" customWidth="1"/>
    <col min="9" max="9" width="13" customWidth="1"/>
    <col min="10" max="10" width="14.1796875" customWidth="1"/>
  </cols>
  <sheetData>
    <row r="1" spans="1:10" ht="16.5" x14ac:dyDescent="0.35">
      <c r="A1" s="49" t="s">
        <v>456</v>
      </c>
      <c r="B1" s="50"/>
      <c r="C1" s="50"/>
      <c r="D1" s="50"/>
      <c r="E1" s="50"/>
      <c r="F1" s="50"/>
      <c r="G1" s="50"/>
      <c r="H1" s="50"/>
      <c r="I1" s="50"/>
      <c r="J1" s="50"/>
    </row>
    <row r="3" spans="1:10" ht="34.5" x14ac:dyDescent="0.35">
      <c r="A3" s="51" t="s">
        <v>457</v>
      </c>
      <c r="B3" s="51" t="s">
        <v>458</v>
      </c>
      <c r="C3" s="51" t="s">
        <v>86</v>
      </c>
      <c r="D3" s="51" t="s">
        <v>459</v>
      </c>
      <c r="E3" s="51" t="s">
        <v>460</v>
      </c>
      <c r="F3" s="51" t="s">
        <v>461</v>
      </c>
      <c r="G3" s="51" t="s">
        <v>462</v>
      </c>
      <c r="H3" s="51" t="s">
        <v>463</v>
      </c>
      <c r="I3" s="51" t="s">
        <v>464</v>
      </c>
      <c r="J3" s="51" t="s">
        <v>465</v>
      </c>
    </row>
    <row r="4" spans="1:10" ht="195.5" x14ac:dyDescent="0.35">
      <c r="A4" s="54" t="s">
        <v>96</v>
      </c>
      <c r="B4" s="52" t="s">
        <v>466</v>
      </c>
      <c r="C4" s="53" t="s">
        <v>342</v>
      </c>
      <c r="D4" s="53" t="s">
        <v>467</v>
      </c>
      <c r="E4" s="52" t="s">
        <v>468</v>
      </c>
      <c r="F4" s="53" t="s">
        <v>469</v>
      </c>
      <c r="G4" s="52" t="s">
        <v>470</v>
      </c>
      <c r="H4" s="53" cm="1">
        <f t="array" ref="H4">SUMPRODUCT(--ISNUMBER(SEARCH(", "&amp;A4&amp;",",", "&amp;Riesgos!$N$4:$N$89&amp;",")))</f>
        <v>2</v>
      </c>
      <c r="I4" s="53" cm="1">
        <f t="array" ref="I4">SUMPRODUCT(ISNUMBER(SEARCH(", "&amp;A4&amp;",",", "&amp;Riesgos!$N$4:$N$89&amp;","))*(Riesgos!$J$4:$J$89="CRÍTICO"))</f>
        <v>1</v>
      </c>
      <c r="J4" s="53" cm="1">
        <f t="array" ref="J4">SUMPRODUCT(ISNUMBER(SEARCH(", "&amp;A4&amp;",",", "&amp;Riesgos!$N$4:$N$89&amp;","))*(Riesgos!$J$4:$J$89="MEDIO-ALTO"))</f>
        <v>0</v>
      </c>
    </row>
    <row r="5" spans="1:10" ht="218.5" x14ac:dyDescent="0.35">
      <c r="A5" s="54" t="s">
        <v>201</v>
      </c>
      <c r="B5" s="52" t="s">
        <v>471</v>
      </c>
      <c r="C5" s="53" t="s">
        <v>472</v>
      </c>
      <c r="D5" s="53" t="s">
        <v>467</v>
      </c>
      <c r="E5" s="52" t="s">
        <v>473</v>
      </c>
      <c r="F5" s="53" t="s">
        <v>469</v>
      </c>
      <c r="G5" s="52" t="s">
        <v>474</v>
      </c>
      <c r="H5" s="53" cm="1">
        <f t="array" ref="H5">SUMPRODUCT(--ISNUMBER(SEARCH(", "&amp;A5&amp;",",", "&amp;Riesgos!$N$4:$N$89&amp;",")))</f>
        <v>2</v>
      </c>
      <c r="I5" s="53" cm="1">
        <f t="array" ref="I5">SUMPRODUCT(ISNUMBER(SEARCH(", "&amp;A5&amp;",",", "&amp;Riesgos!$N$4:$N$89&amp;","))*(Riesgos!$J$4:$J$89="CRÍTICO"))</f>
        <v>0</v>
      </c>
      <c r="J5" s="53" cm="1">
        <f t="array" ref="J5">SUMPRODUCT(ISNUMBER(SEARCH(", "&amp;A5&amp;",",", "&amp;Riesgos!$N$4:$N$89&amp;","))*(Riesgos!$J$4:$J$89="MEDIO-ALTO"))</f>
        <v>2</v>
      </c>
    </row>
    <row r="6" spans="1:10" ht="172.5" x14ac:dyDescent="0.35">
      <c r="A6" s="54" t="s">
        <v>286</v>
      </c>
      <c r="B6" s="52" t="s">
        <v>475</v>
      </c>
      <c r="C6" s="53" t="s">
        <v>374</v>
      </c>
      <c r="D6" s="53" t="s">
        <v>467</v>
      </c>
      <c r="E6" s="52" t="s">
        <v>476</v>
      </c>
      <c r="F6" s="53" t="s">
        <v>477</v>
      </c>
      <c r="G6" s="52" t="s">
        <v>478</v>
      </c>
      <c r="H6" s="53" cm="1">
        <f t="array" ref="H6">SUMPRODUCT(--ISNUMBER(SEARCH(", "&amp;A6&amp;",",", "&amp;Riesgos!$N$4:$N$89&amp;",")))</f>
        <v>1</v>
      </c>
      <c r="I6" s="53" cm="1">
        <f t="array" ref="I6">SUMPRODUCT(ISNUMBER(SEARCH(", "&amp;A6&amp;",",", "&amp;Riesgos!$N$4:$N$89&amp;","))*(Riesgos!$J$4:$J$89="CRÍTICO"))</f>
        <v>1</v>
      </c>
      <c r="J6" s="53" cm="1">
        <f t="array" ref="J6">SUMPRODUCT(ISNUMBER(SEARCH(", "&amp;A6&amp;",",", "&amp;Riesgos!$N$4:$N$89&amp;","))*(Riesgos!$J$4:$J$89="MEDIO-ALTO"))</f>
        <v>0</v>
      </c>
    </row>
    <row r="7" spans="1:10" ht="184" x14ac:dyDescent="0.35">
      <c r="A7" s="54" t="s">
        <v>283</v>
      </c>
      <c r="B7" s="52" t="s">
        <v>479</v>
      </c>
      <c r="C7" s="53" t="s">
        <v>374</v>
      </c>
      <c r="D7" s="53" t="s">
        <v>467</v>
      </c>
      <c r="E7" s="52" t="s">
        <v>480</v>
      </c>
      <c r="F7" s="53" t="s">
        <v>469</v>
      </c>
      <c r="G7" s="52" t="s">
        <v>481</v>
      </c>
      <c r="H7" s="53" cm="1">
        <f t="array" ref="H7">SUMPRODUCT(--ISNUMBER(SEARCH(", "&amp;A7&amp;",",", "&amp;Riesgos!$N$4:$N$89&amp;",")))</f>
        <v>2</v>
      </c>
      <c r="I7" s="53" cm="1">
        <f t="array" ref="I7">SUMPRODUCT(ISNUMBER(SEARCH(", "&amp;A7&amp;",",", "&amp;Riesgos!$N$4:$N$89&amp;","))*(Riesgos!$J$4:$J$89="CRÍTICO"))</f>
        <v>1</v>
      </c>
      <c r="J7" s="53" cm="1">
        <f t="array" ref="J7">SUMPRODUCT(ISNUMBER(SEARCH(", "&amp;A7&amp;",",", "&amp;Riesgos!$N$4:$N$89&amp;","))*(Riesgos!$J$4:$J$89="MEDIO-ALTO"))</f>
        <v>1</v>
      </c>
    </row>
    <row r="8" spans="1:10" ht="149.5" x14ac:dyDescent="0.35">
      <c r="A8" s="54" t="s">
        <v>240</v>
      </c>
      <c r="B8" s="52" t="s">
        <v>482</v>
      </c>
      <c r="C8" s="53" t="s">
        <v>359</v>
      </c>
      <c r="D8" s="53" t="s">
        <v>467</v>
      </c>
      <c r="E8" s="52" t="s">
        <v>483</v>
      </c>
      <c r="F8" s="53" t="s">
        <v>484</v>
      </c>
      <c r="G8" s="52" t="s">
        <v>485</v>
      </c>
      <c r="H8" s="53" cm="1">
        <f t="array" ref="H8">SUMPRODUCT(--ISNUMBER(SEARCH(", "&amp;A8&amp;",",", "&amp;Riesgos!$N$4:$N$89&amp;",")))</f>
        <v>1</v>
      </c>
      <c r="I8" s="53" cm="1">
        <f t="array" ref="I8">SUMPRODUCT(ISNUMBER(SEARCH(", "&amp;A8&amp;",",", "&amp;Riesgos!$N$4:$N$89&amp;","))*(Riesgos!$J$4:$J$89="CRÍTICO"))</f>
        <v>1</v>
      </c>
      <c r="J8" s="53" cm="1">
        <f t="array" ref="J8">SUMPRODUCT(ISNUMBER(SEARCH(", "&amp;A8&amp;",",", "&amp;Riesgos!$N$4:$N$89&amp;","))*(Riesgos!$J$4:$J$89="MEDIO-ALTO"))</f>
        <v>0</v>
      </c>
    </row>
    <row r="9" spans="1:10" ht="218.5" x14ac:dyDescent="0.35">
      <c r="A9" s="54" t="s">
        <v>145</v>
      </c>
      <c r="B9" s="52" t="s">
        <v>486</v>
      </c>
      <c r="C9" s="53" t="s">
        <v>487</v>
      </c>
      <c r="D9" s="53" t="s">
        <v>467</v>
      </c>
      <c r="E9" s="52" t="s">
        <v>488</v>
      </c>
      <c r="F9" s="53" t="s">
        <v>469</v>
      </c>
      <c r="G9" s="52" t="s">
        <v>489</v>
      </c>
      <c r="H9" s="53" cm="1">
        <f t="array" ref="H9">SUMPRODUCT(--ISNUMBER(SEARCH(", "&amp;A9&amp;",",", "&amp;Riesgos!$N$4:$N$89&amp;",")))</f>
        <v>2</v>
      </c>
      <c r="I9" s="53" cm="1">
        <f t="array" ref="I9">SUMPRODUCT(ISNUMBER(SEARCH(", "&amp;A9&amp;",",", "&amp;Riesgos!$N$4:$N$89&amp;","))*(Riesgos!$J$4:$J$89="CRÍTICO"))</f>
        <v>0</v>
      </c>
      <c r="J9" s="53" cm="1">
        <f t="array" ref="J9">SUMPRODUCT(ISNUMBER(SEARCH(", "&amp;A9&amp;",",", "&amp;Riesgos!$N$4:$N$89&amp;","))*(Riesgos!$J$4:$J$89="MEDIO-ALTO"))</f>
        <v>1</v>
      </c>
    </row>
    <row r="10" spans="1:10" ht="149.5" x14ac:dyDescent="0.35">
      <c r="A10" s="54" t="s">
        <v>236</v>
      </c>
      <c r="B10" s="52" t="s">
        <v>490</v>
      </c>
      <c r="C10" s="53" t="s">
        <v>491</v>
      </c>
      <c r="D10" s="53" t="s">
        <v>492</v>
      </c>
      <c r="E10" s="52" t="s">
        <v>493</v>
      </c>
      <c r="F10" s="53" t="s">
        <v>494</v>
      </c>
      <c r="G10" s="52" t="s">
        <v>495</v>
      </c>
      <c r="H10" s="53" cm="1">
        <f t="array" ref="H10">SUMPRODUCT(--ISNUMBER(SEARCH(", "&amp;A10&amp;",",", "&amp;Riesgos!$N$4:$N$89&amp;",")))</f>
        <v>3</v>
      </c>
      <c r="I10" s="53" cm="1">
        <f t="array" ref="I10">SUMPRODUCT(ISNUMBER(SEARCH(", "&amp;A10&amp;",",", "&amp;Riesgos!$N$4:$N$89&amp;","))*(Riesgos!$J$4:$J$89="CRÍTICO"))</f>
        <v>1</v>
      </c>
      <c r="J10" s="53" cm="1">
        <f t="array" ref="J10">SUMPRODUCT(ISNUMBER(SEARCH(", "&amp;A10&amp;",",", "&amp;Riesgos!$N$4:$N$89&amp;","))*(Riesgos!$J$4:$J$89="MEDIO-ALTO"))</f>
        <v>2</v>
      </c>
    </row>
    <row r="11" spans="1:10" ht="149.5" x14ac:dyDescent="0.35">
      <c r="A11" s="54" t="s">
        <v>258</v>
      </c>
      <c r="B11" s="52" t="s">
        <v>496</v>
      </c>
      <c r="C11" s="53" t="s">
        <v>359</v>
      </c>
      <c r="D11" s="53" t="s">
        <v>492</v>
      </c>
      <c r="E11" s="52" t="s">
        <v>497</v>
      </c>
      <c r="F11" s="53" t="s">
        <v>498</v>
      </c>
      <c r="G11" s="52" t="s">
        <v>499</v>
      </c>
      <c r="H11" s="53" cm="1">
        <f t="array" ref="H11">SUMPRODUCT(--ISNUMBER(SEARCH(", "&amp;A11&amp;",",", "&amp;Riesgos!$N$4:$N$89&amp;",")))</f>
        <v>1</v>
      </c>
      <c r="I11" s="53" cm="1">
        <f t="array" ref="I11">SUMPRODUCT(ISNUMBER(SEARCH(", "&amp;A11&amp;",",", "&amp;Riesgos!$N$4:$N$89&amp;","))*(Riesgos!$J$4:$J$89="CRÍTICO"))</f>
        <v>1</v>
      </c>
      <c r="J11" s="53" cm="1">
        <f t="array" ref="J11">SUMPRODUCT(ISNUMBER(SEARCH(", "&amp;A11&amp;",",", "&amp;Riesgos!$N$4:$N$89&amp;","))*(Riesgos!$J$4:$J$89="MEDIO-ALTO"))</f>
        <v>0</v>
      </c>
    </row>
    <row r="12" spans="1:10" ht="195.5" x14ac:dyDescent="0.35">
      <c r="A12" s="54" t="s">
        <v>264</v>
      </c>
      <c r="B12" s="52" t="s">
        <v>500</v>
      </c>
      <c r="C12" s="53" t="s">
        <v>354</v>
      </c>
      <c r="D12" s="53" t="s">
        <v>467</v>
      </c>
      <c r="E12" s="52" t="s">
        <v>473</v>
      </c>
      <c r="F12" s="53" t="s">
        <v>501</v>
      </c>
      <c r="G12" s="52" t="s">
        <v>502</v>
      </c>
      <c r="H12" s="53" cm="1">
        <f t="array" ref="H12">SUMPRODUCT(--ISNUMBER(SEARCH(", "&amp;A12&amp;",",", "&amp;Riesgos!$N$4:$N$89&amp;",")))</f>
        <v>2</v>
      </c>
      <c r="I12" s="53" cm="1">
        <f t="array" ref="I12">SUMPRODUCT(ISNUMBER(SEARCH(", "&amp;A12&amp;",",", "&amp;Riesgos!$N$4:$N$89&amp;","))*(Riesgos!$J$4:$J$89="CRÍTICO"))</f>
        <v>1</v>
      </c>
      <c r="J12" s="53" cm="1">
        <f t="array" ref="J12">SUMPRODUCT(ISNUMBER(SEARCH(", "&amp;A12&amp;",",", "&amp;Riesgos!$N$4:$N$89&amp;","))*(Riesgos!$J$4:$J$89="MEDIO-ALTO"))</f>
        <v>0</v>
      </c>
    </row>
    <row r="13" spans="1:10" ht="322" x14ac:dyDescent="0.35">
      <c r="A13" s="54" t="s">
        <v>139</v>
      </c>
      <c r="B13" s="52" t="s">
        <v>503</v>
      </c>
      <c r="C13" s="53" t="s">
        <v>504</v>
      </c>
      <c r="D13" s="53" t="s">
        <v>492</v>
      </c>
      <c r="E13" s="52" t="s">
        <v>505</v>
      </c>
      <c r="F13" s="53" t="s">
        <v>477</v>
      </c>
      <c r="G13" s="52" t="s">
        <v>506</v>
      </c>
      <c r="H13" s="53" cm="1">
        <f t="array" ref="H13">SUMPRODUCT(--ISNUMBER(SEARCH(", "&amp;A13&amp;",",", "&amp;Riesgos!$N$4:$N$89&amp;",")))</f>
        <v>5</v>
      </c>
      <c r="I13" s="53" cm="1">
        <f t="array" ref="I13">SUMPRODUCT(ISNUMBER(SEARCH(", "&amp;A13&amp;",",", "&amp;Riesgos!$N$4:$N$89&amp;","))*(Riesgos!$J$4:$J$89="CRÍTICO"))</f>
        <v>0</v>
      </c>
      <c r="J13" s="53" cm="1">
        <f t="array" ref="J13">SUMPRODUCT(ISNUMBER(SEARCH(", "&amp;A13&amp;",",", "&amp;Riesgos!$N$4:$N$89&amp;","))*(Riesgos!$J$4:$J$89="MEDIO-ALTO"))</f>
        <v>1</v>
      </c>
    </row>
    <row r="14" spans="1:10" ht="103.5" x14ac:dyDescent="0.35">
      <c r="A14" s="54" t="s">
        <v>297</v>
      </c>
      <c r="B14" s="52" t="s">
        <v>507</v>
      </c>
      <c r="C14" s="53" t="s">
        <v>374</v>
      </c>
      <c r="D14" s="53" t="s">
        <v>492</v>
      </c>
      <c r="E14" s="52" t="s">
        <v>473</v>
      </c>
      <c r="F14" s="53" t="s">
        <v>469</v>
      </c>
      <c r="G14" s="52" t="s">
        <v>508</v>
      </c>
      <c r="H14" s="53" cm="1">
        <f t="array" ref="H14">SUMPRODUCT(--ISNUMBER(SEARCH(", "&amp;A14&amp;",",", "&amp;Riesgos!$N$4:$N$89&amp;",")))</f>
        <v>1</v>
      </c>
      <c r="I14" s="53" cm="1">
        <f t="array" ref="I14">SUMPRODUCT(ISNUMBER(SEARCH(", "&amp;A14&amp;",",", "&amp;Riesgos!$N$4:$N$89&amp;","))*(Riesgos!$J$4:$J$89="CRÍTICO"))</f>
        <v>0</v>
      </c>
      <c r="J14" s="53" cm="1">
        <f t="array" ref="J14">SUMPRODUCT(ISNUMBER(SEARCH(", "&amp;A14&amp;",",", "&amp;Riesgos!$N$4:$N$89&amp;","))*(Riesgos!$J$4:$J$89="MEDIO-ALTO"))</f>
        <v>0</v>
      </c>
    </row>
    <row r="15" spans="1:10" ht="195.5" x14ac:dyDescent="0.35">
      <c r="A15" s="54" t="s">
        <v>105</v>
      </c>
      <c r="B15" s="52" t="s">
        <v>509</v>
      </c>
      <c r="C15" s="53" t="s">
        <v>342</v>
      </c>
      <c r="D15" s="53" t="s">
        <v>492</v>
      </c>
      <c r="E15" s="52" t="s">
        <v>510</v>
      </c>
      <c r="F15" s="53" t="s">
        <v>498</v>
      </c>
      <c r="G15" s="52" t="s">
        <v>511</v>
      </c>
      <c r="H15" s="53" cm="1">
        <f t="array" ref="H15">SUMPRODUCT(--ISNUMBER(SEARCH(", "&amp;A15&amp;",",", "&amp;Riesgos!$N$4:$N$89&amp;",")))</f>
        <v>3</v>
      </c>
      <c r="I15" s="53" cm="1">
        <f t="array" ref="I15">SUMPRODUCT(ISNUMBER(SEARCH(", "&amp;A15&amp;",",", "&amp;Riesgos!$N$4:$N$89&amp;","))*(Riesgos!$J$4:$J$89="CRÍTICO"))</f>
        <v>0</v>
      </c>
      <c r="J15" s="53" cm="1">
        <f t="array" ref="J15">SUMPRODUCT(ISNUMBER(SEARCH(", "&amp;A15&amp;",",", "&amp;Riesgos!$N$4:$N$89&amp;","))*(Riesgos!$J$4:$J$89="MEDIO-ALTO"))</f>
        <v>2</v>
      </c>
    </row>
    <row r="16" spans="1:10" ht="195.5" x14ac:dyDescent="0.35">
      <c r="A16" s="54" t="s">
        <v>167</v>
      </c>
      <c r="B16" s="52" t="s">
        <v>512</v>
      </c>
      <c r="C16" s="53" t="s">
        <v>513</v>
      </c>
      <c r="D16" s="53" t="s">
        <v>492</v>
      </c>
      <c r="E16" s="52" t="s">
        <v>514</v>
      </c>
      <c r="F16" s="53" t="s">
        <v>515</v>
      </c>
      <c r="G16" s="52" t="s">
        <v>516</v>
      </c>
      <c r="H16" s="53" cm="1">
        <f t="array" ref="H16">SUMPRODUCT(--ISNUMBER(SEARCH(", "&amp;A16&amp;",",", "&amp;Riesgos!$N$4:$N$89&amp;",")))</f>
        <v>3</v>
      </c>
      <c r="I16" s="53" cm="1">
        <f t="array" ref="I16">SUMPRODUCT(ISNUMBER(SEARCH(", "&amp;A16&amp;",",", "&amp;Riesgos!$N$4:$N$89&amp;","))*(Riesgos!$J$4:$J$89="CRÍTICO"))</f>
        <v>1</v>
      </c>
      <c r="J16" s="53" cm="1">
        <f t="array" ref="J16">SUMPRODUCT(ISNUMBER(SEARCH(", "&amp;A16&amp;",",", "&amp;Riesgos!$N$4:$N$89&amp;","))*(Riesgos!$J$4:$J$89="MEDIO-ALTO"))</f>
        <v>1</v>
      </c>
    </row>
    <row r="17" spans="1:10" ht="172.5" x14ac:dyDescent="0.35">
      <c r="A17" s="54" t="s">
        <v>212</v>
      </c>
      <c r="B17" s="52" t="s">
        <v>517</v>
      </c>
      <c r="C17" s="53" t="s">
        <v>513</v>
      </c>
      <c r="D17" s="53" t="s">
        <v>492</v>
      </c>
      <c r="E17" s="52" t="s">
        <v>473</v>
      </c>
      <c r="F17" s="53" t="s">
        <v>518</v>
      </c>
      <c r="G17" s="52" t="s">
        <v>519</v>
      </c>
      <c r="H17" s="53" cm="1">
        <f t="array" ref="H17">SUMPRODUCT(--ISNUMBER(SEARCH(", "&amp;A17&amp;",",", "&amp;Riesgos!$N$4:$N$89&amp;",")))</f>
        <v>3</v>
      </c>
      <c r="I17" s="53" cm="1">
        <f t="array" ref="I17">SUMPRODUCT(ISNUMBER(SEARCH(", "&amp;A17&amp;",",", "&amp;Riesgos!$N$4:$N$89&amp;","))*(Riesgos!$J$4:$J$89="CRÍTICO"))</f>
        <v>0</v>
      </c>
      <c r="J17" s="53" cm="1">
        <f t="array" ref="J17">SUMPRODUCT(ISNUMBER(SEARCH(", "&amp;A17&amp;",",", "&amp;Riesgos!$N$4:$N$89&amp;","))*(Riesgos!$J$4:$J$89="MEDIO-ALTO"))</f>
        <v>3</v>
      </c>
    </row>
    <row r="18" spans="1:10" ht="230" x14ac:dyDescent="0.35">
      <c r="A18" s="54" t="s">
        <v>160</v>
      </c>
      <c r="B18" s="52" t="s">
        <v>520</v>
      </c>
      <c r="C18" s="53" t="s">
        <v>521</v>
      </c>
      <c r="D18" s="53" t="s">
        <v>492</v>
      </c>
      <c r="E18" s="52" t="s">
        <v>522</v>
      </c>
      <c r="F18" s="53" t="s">
        <v>523</v>
      </c>
      <c r="G18" s="52" t="s">
        <v>524</v>
      </c>
      <c r="H18" s="53" cm="1">
        <f t="array" ref="H18">SUMPRODUCT(--ISNUMBER(SEARCH(", "&amp;A18&amp;",",", "&amp;Riesgos!$N$4:$N$89&amp;",")))</f>
        <v>3</v>
      </c>
      <c r="I18" s="53" cm="1">
        <f t="array" ref="I18">SUMPRODUCT(ISNUMBER(SEARCH(", "&amp;A18&amp;",",", "&amp;Riesgos!$N$4:$N$89&amp;","))*(Riesgos!$J$4:$J$89="CRÍTICO"))</f>
        <v>0</v>
      </c>
      <c r="J18" s="53" cm="1">
        <f t="array" ref="J18">SUMPRODUCT(ISNUMBER(SEARCH(", "&amp;A18&amp;",",", "&amp;Riesgos!$N$4:$N$89&amp;","))*(Riesgos!$J$4:$J$89="MEDIO-ALTO"))</f>
        <v>2</v>
      </c>
    </row>
    <row r="19" spans="1:10" ht="80.5" x14ac:dyDescent="0.35">
      <c r="A19" s="54" t="s">
        <v>247</v>
      </c>
      <c r="B19" s="52" t="s">
        <v>525</v>
      </c>
      <c r="C19" s="53" t="s">
        <v>359</v>
      </c>
      <c r="D19" s="53" t="s">
        <v>492</v>
      </c>
      <c r="E19" s="52" t="s">
        <v>526</v>
      </c>
      <c r="F19" s="53" t="s">
        <v>498</v>
      </c>
      <c r="G19" s="52" t="s">
        <v>527</v>
      </c>
      <c r="H19" s="53" cm="1">
        <f t="array" ref="H19">SUMPRODUCT(--ISNUMBER(SEARCH(", "&amp;A19&amp;",",", "&amp;Riesgos!$N$4:$N$89&amp;",")))</f>
        <v>1</v>
      </c>
      <c r="I19" s="53" cm="1">
        <f t="array" ref="I19">SUMPRODUCT(ISNUMBER(SEARCH(", "&amp;A19&amp;",",", "&amp;Riesgos!$N$4:$N$89&amp;","))*(Riesgos!$J$4:$J$89="CRÍTICO"))</f>
        <v>0</v>
      </c>
      <c r="J19" s="53" cm="1">
        <f t="array" ref="J19">SUMPRODUCT(ISNUMBER(SEARCH(", "&amp;A19&amp;",",", "&amp;Riesgos!$N$4:$N$89&amp;","))*(Riesgos!$J$4:$J$89="MEDIO-ALTO"))</f>
        <v>1</v>
      </c>
    </row>
    <row r="20" spans="1:10" ht="115" x14ac:dyDescent="0.35">
      <c r="A20" s="54" t="s">
        <v>268</v>
      </c>
      <c r="B20" s="52" t="s">
        <v>528</v>
      </c>
      <c r="C20" s="53" t="s">
        <v>354</v>
      </c>
      <c r="D20" s="53" t="s">
        <v>492</v>
      </c>
      <c r="E20" s="52" t="s">
        <v>473</v>
      </c>
      <c r="F20" s="53" t="s">
        <v>523</v>
      </c>
      <c r="G20" s="52" t="s">
        <v>529</v>
      </c>
      <c r="H20" s="53" cm="1">
        <f t="array" ref="H20">SUMPRODUCT(--ISNUMBER(SEARCH(", "&amp;A20&amp;",",", "&amp;Riesgos!$N$4:$N$89&amp;",")))</f>
        <v>2</v>
      </c>
      <c r="I20" s="53" cm="1">
        <f t="array" ref="I20">SUMPRODUCT(ISNUMBER(SEARCH(", "&amp;A20&amp;",",", "&amp;Riesgos!$N$4:$N$89&amp;","))*(Riesgos!$J$4:$J$89="CRÍTICO"))</f>
        <v>0</v>
      </c>
      <c r="J20" s="53" cm="1">
        <f t="array" ref="J20">SUMPRODUCT(ISNUMBER(SEARCH(", "&amp;A20&amp;",",", "&amp;Riesgos!$N$4:$N$89&amp;","))*(Riesgos!$J$4:$J$89="MEDIO-ALTO"))</f>
        <v>0</v>
      </c>
    </row>
    <row r="21" spans="1:10" ht="149.5" x14ac:dyDescent="0.35">
      <c r="A21" s="54" t="s">
        <v>114</v>
      </c>
      <c r="B21" s="52" t="s">
        <v>530</v>
      </c>
      <c r="C21" s="53" t="s">
        <v>342</v>
      </c>
      <c r="D21" s="53" t="s">
        <v>492</v>
      </c>
      <c r="E21" s="52" t="s">
        <v>531</v>
      </c>
      <c r="F21" s="53" t="s">
        <v>523</v>
      </c>
      <c r="G21" s="52" t="s">
        <v>532</v>
      </c>
      <c r="H21" s="53" cm="1">
        <f t="array" ref="H21">SUMPRODUCT(--ISNUMBER(SEARCH(", "&amp;A21&amp;",",", "&amp;Riesgos!$N$4:$N$89&amp;",")))</f>
        <v>1</v>
      </c>
      <c r="I21" s="53" cm="1">
        <f t="array" ref="I21">SUMPRODUCT(ISNUMBER(SEARCH(", "&amp;A21&amp;",",", "&amp;Riesgos!$N$4:$N$89&amp;","))*(Riesgos!$J$4:$J$89="CRÍTICO"))</f>
        <v>0</v>
      </c>
      <c r="J21" s="53" cm="1">
        <f t="array" ref="J21">SUMPRODUCT(ISNUMBER(SEARCH(", "&amp;A21&amp;",",", "&amp;Riesgos!$N$4:$N$89&amp;","))*(Riesgos!$J$4:$J$89="MEDIO-ALTO"))</f>
        <v>1</v>
      </c>
    </row>
    <row r="22" spans="1:10" ht="184" x14ac:dyDescent="0.35">
      <c r="A22" s="54" t="s">
        <v>192</v>
      </c>
      <c r="B22" s="52" t="s">
        <v>533</v>
      </c>
      <c r="C22" s="53" t="s">
        <v>347</v>
      </c>
      <c r="D22" s="53" t="s">
        <v>534</v>
      </c>
      <c r="E22" s="52" t="s">
        <v>480</v>
      </c>
      <c r="F22" s="53" t="s">
        <v>498</v>
      </c>
      <c r="G22" s="52" t="s">
        <v>535</v>
      </c>
      <c r="H22" s="53" cm="1">
        <f t="array" ref="H22">SUMPRODUCT(--ISNUMBER(SEARCH(", "&amp;A22&amp;",",", "&amp;Riesgos!$N$4:$N$89&amp;",")))</f>
        <v>1</v>
      </c>
      <c r="I22" s="53" cm="1">
        <f t="array" ref="I22">SUMPRODUCT(ISNUMBER(SEARCH(", "&amp;A22&amp;",",", "&amp;Riesgos!$N$4:$N$89&amp;","))*(Riesgos!$J$4:$J$89="CRÍTICO"))</f>
        <v>0</v>
      </c>
      <c r="J22" s="53" cm="1">
        <f t="array" ref="J22">SUMPRODUCT(ISNUMBER(SEARCH(", "&amp;A22&amp;",",", "&amp;Riesgos!$N$4:$N$89&amp;","))*(Riesgos!$J$4:$J$89="MEDIO-ALTO"))</f>
        <v>0</v>
      </c>
    </row>
    <row r="23" spans="1:10" ht="345" x14ac:dyDescent="0.35">
      <c r="A23" s="54" t="s">
        <v>197</v>
      </c>
      <c r="B23" s="52" t="s">
        <v>536</v>
      </c>
      <c r="C23" s="53" t="s">
        <v>537</v>
      </c>
      <c r="D23" s="53" t="s">
        <v>492</v>
      </c>
      <c r="E23" s="52" t="s">
        <v>538</v>
      </c>
      <c r="F23" s="53" t="s">
        <v>523</v>
      </c>
      <c r="G23" s="52" t="s">
        <v>539</v>
      </c>
      <c r="H23" s="53" cm="1">
        <f t="array" ref="H23">SUMPRODUCT(--ISNUMBER(SEARCH(", "&amp;A23&amp;",",", "&amp;Riesgos!$N$4:$N$89&amp;",")))</f>
        <v>2</v>
      </c>
      <c r="I23" s="53" cm="1">
        <f t="array" ref="I23">SUMPRODUCT(ISNUMBER(SEARCH(", "&amp;A23&amp;",",", "&amp;Riesgos!$N$4:$N$89&amp;","))*(Riesgos!$J$4:$J$89="CRÍTICO"))</f>
        <v>0</v>
      </c>
      <c r="J23" s="53" cm="1">
        <f t="array" ref="J23">SUMPRODUCT(ISNUMBER(SEARCH(", "&amp;A23&amp;",",", "&amp;Riesgos!$N$4:$N$89&amp;","))*(Riesgos!$J$4:$J$89="MEDIO-ALTO"))</f>
        <v>1</v>
      </c>
    </row>
    <row r="24" spans="1:10" ht="230" x14ac:dyDescent="0.35">
      <c r="A24" s="54" t="s">
        <v>122</v>
      </c>
      <c r="B24" s="52" t="s">
        <v>540</v>
      </c>
      <c r="C24" s="53" t="s">
        <v>342</v>
      </c>
      <c r="D24" s="53" t="s">
        <v>492</v>
      </c>
      <c r="E24" s="52" t="s">
        <v>541</v>
      </c>
      <c r="F24" s="53" t="s">
        <v>523</v>
      </c>
      <c r="G24" s="52" t="s">
        <v>542</v>
      </c>
      <c r="H24" s="53" cm="1">
        <f t="array" ref="H24">SUMPRODUCT(--ISNUMBER(SEARCH(", "&amp;A24&amp;",",", "&amp;Riesgos!$N$4:$N$89&amp;",")))</f>
        <v>1</v>
      </c>
      <c r="I24" s="53" cm="1">
        <f t="array" ref="I24">SUMPRODUCT(ISNUMBER(SEARCH(", "&amp;A24&amp;",",", "&amp;Riesgos!$N$4:$N$89&amp;","))*(Riesgos!$J$4:$J$89="CRÍTICO"))</f>
        <v>0</v>
      </c>
      <c r="J24" s="53" cm="1">
        <f t="array" ref="J24">SUMPRODUCT(ISNUMBER(SEARCH(", "&amp;A24&amp;",",", "&amp;Riesgos!$N$4:$N$89&amp;","))*(Riesgos!$J$4:$J$89="MEDIO-ALTO"))</f>
        <v>0</v>
      </c>
    </row>
    <row r="25" spans="1:10" ht="92" x14ac:dyDescent="0.35">
      <c r="A25" s="54" t="s">
        <v>118</v>
      </c>
      <c r="B25" s="52" t="s">
        <v>543</v>
      </c>
      <c r="C25" s="53" t="s">
        <v>351</v>
      </c>
      <c r="D25" s="53" t="s">
        <v>534</v>
      </c>
      <c r="E25" s="52" t="s">
        <v>473</v>
      </c>
      <c r="F25" s="53" t="s">
        <v>498</v>
      </c>
      <c r="G25" s="52" t="s">
        <v>544</v>
      </c>
      <c r="H25" s="53" cm="1">
        <f t="array" ref="H25">SUMPRODUCT(--ISNUMBER(SEARCH(", "&amp;A25&amp;",",", "&amp;Riesgos!$N$4:$N$89&amp;",")))</f>
        <v>2</v>
      </c>
      <c r="I25" s="53" cm="1">
        <f t="array" ref="I25">SUMPRODUCT(ISNUMBER(SEARCH(", "&amp;A25&amp;",",", "&amp;Riesgos!$N$4:$N$89&amp;","))*(Riesgos!$J$4:$J$89="CRÍTICO"))</f>
        <v>0</v>
      </c>
      <c r="J25" s="53" cm="1">
        <f t="array" ref="J25">SUMPRODUCT(ISNUMBER(SEARCH(", "&amp;A25&amp;",",", "&amp;Riesgos!$N$4:$N$89&amp;","))*(Riesgos!$J$4:$J$89="MEDIO-ALTO"))</f>
        <v>0</v>
      </c>
    </row>
    <row r="26" spans="1:10" ht="126.5" x14ac:dyDescent="0.35">
      <c r="A26" s="54" t="s">
        <v>220</v>
      </c>
      <c r="B26" s="52" t="s">
        <v>545</v>
      </c>
      <c r="C26" s="53" t="s">
        <v>513</v>
      </c>
      <c r="D26" s="53" t="s">
        <v>534</v>
      </c>
      <c r="E26" s="52" t="s">
        <v>488</v>
      </c>
      <c r="F26" s="53" t="s">
        <v>546</v>
      </c>
      <c r="G26" s="52" t="s">
        <v>547</v>
      </c>
      <c r="H26" s="53" cm="1">
        <f t="array" ref="H26">SUMPRODUCT(--ISNUMBER(SEARCH(", "&amp;A26&amp;",",", "&amp;Riesgos!$N$4:$N$89&amp;",")))</f>
        <v>2</v>
      </c>
      <c r="I26" s="53" cm="1">
        <f t="array" ref="I26">SUMPRODUCT(ISNUMBER(SEARCH(", "&amp;A26&amp;",",", "&amp;Riesgos!$N$4:$N$89&amp;","))*(Riesgos!$J$4:$J$89="CRÍTICO"))</f>
        <v>0</v>
      </c>
      <c r="J26" s="53" cm="1">
        <f t="array" ref="J26">SUMPRODUCT(ISNUMBER(SEARCH(", "&amp;A26&amp;",",", "&amp;Riesgos!$N$4:$N$89&amp;","))*(Riesgos!$J$4:$J$89="MEDIO-ALTO"))</f>
        <v>1</v>
      </c>
    </row>
    <row r="27" spans="1:10" ht="195.5" x14ac:dyDescent="0.35">
      <c r="A27" s="54" t="s">
        <v>152</v>
      </c>
      <c r="B27" s="52" t="s">
        <v>548</v>
      </c>
      <c r="C27" s="53" t="s">
        <v>351</v>
      </c>
      <c r="D27" s="53" t="s">
        <v>534</v>
      </c>
      <c r="E27" s="52" t="s">
        <v>549</v>
      </c>
      <c r="F27" s="53" t="s">
        <v>550</v>
      </c>
      <c r="G27" s="52" t="s">
        <v>551</v>
      </c>
      <c r="H27" s="53" cm="1">
        <f t="array" ref="H27">SUMPRODUCT(--ISNUMBER(SEARCH(", "&amp;A27&amp;",",", "&amp;Riesgos!$N$4:$N$89&amp;",")))</f>
        <v>6</v>
      </c>
      <c r="I27" s="53" cm="1">
        <f t="array" ref="I27">SUMPRODUCT(ISNUMBER(SEARCH(", "&amp;A27&amp;",",", "&amp;Riesgos!$N$4:$N$89&amp;","))*(Riesgos!$J$4:$J$89="CRÍTICO"))</f>
        <v>0</v>
      </c>
      <c r="J27" s="53" cm="1">
        <f t="array" ref="J27">SUMPRODUCT(ISNUMBER(SEARCH(", "&amp;A27&amp;",",", "&amp;Riesgos!$N$4:$N$89&amp;","))*(Riesgos!$J$4:$J$89="MEDIO-ALTO"))</f>
        <v>1</v>
      </c>
    </row>
    <row r="28" spans="1:10" ht="103.5" x14ac:dyDescent="0.35">
      <c r="A28" s="54" t="s">
        <v>101</v>
      </c>
      <c r="B28" s="52" t="s">
        <v>552</v>
      </c>
      <c r="C28" s="53" t="s">
        <v>342</v>
      </c>
      <c r="D28" s="53" t="s">
        <v>492</v>
      </c>
      <c r="E28" s="52" t="s">
        <v>553</v>
      </c>
      <c r="F28" s="53" t="s">
        <v>550</v>
      </c>
      <c r="G28" s="52" t="s">
        <v>554</v>
      </c>
      <c r="H28" s="53" cm="1">
        <f t="array" ref="H28">SUMPRODUCT(--ISNUMBER(SEARCH(", "&amp;A28&amp;",",", "&amp;Riesgos!$N$4:$N$89&amp;",")))</f>
        <v>1</v>
      </c>
      <c r="I28" s="53" cm="1">
        <f t="array" ref="I28">SUMPRODUCT(ISNUMBER(SEARCH(", "&amp;A28&amp;",",", "&amp;Riesgos!$N$4:$N$89&amp;","))*(Riesgos!$J$4:$J$89="CRÍTICO"))</f>
        <v>0</v>
      </c>
      <c r="J28" s="53" cm="1">
        <f t="array" ref="J28">SUMPRODUCT(ISNUMBER(SEARCH(", "&amp;A28&amp;",",", "&amp;Riesgos!$N$4:$N$89&amp;","))*(Riesgos!$J$4:$J$89="MEDIO-ALTO"))</f>
        <v>1</v>
      </c>
    </row>
    <row r="29" spans="1:10" ht="103.5" x14ac:dyDescent="0.35">
      <c r="A29" s="54" t="s">
        <v>555</v>
      </c>
      <c r="B29" s="52" t="s">
        <v>556</v>
      </c>
      <c r="C29" s="53" t="s">
        <v>342</v>
      </c>
      <c r="D29" s="53" t="s">
        <v>534</v>
      </c>
      <c r="E29" s="52" t="s">
        <v>557</v>
      </c>
      <c r="F29" s="53" t="s">
        <v>550</v>
      </c>
      <c r="G29" s="52" t="s">
        <v>558</v>
      </c>
      <c r="H29" s="53" cm="1">
        <f t="array" ref="H29">SUMPRODUCT(--ISNUMBER(SEARCH(", "&amp;A29&amp;",",", "&amp;Riesgos!$N$4:$N$89&amp;",")))</f>
        <v>1</v>
      </c>
      <c r="I29" s="53" cm="1">
        <f t="array" ref="I29">SUMPRODUCT(ISNUMBER(SEARCH(", "&amp;A29&amp;",",", "&amp;Riesgos!$N$4:$N$89&amp;","))*(Riesgos!$J$4:$J$89="CRÍTICO"))</f>
        <v>0</v>
      </c>
      <c r="J29" s="53" cm="1">
        <f t="array" ref="J29">SUMPRODUCT(ISNUMBER(SEARCH(", "&amp;A29&amp;",",", "&amp;Riesgos!$N$4:$N$89&amp;","))*(Riesgos!$J$4:$J$89="MEDIO-ALTO"))</f>
        <v>1</v>
      </c>
    </row>
    <row r="30" spans="1:10" ht="195.5" x14ac:dyDescent="0.35">
      <c r="A30" s="54" t="s">
        <v>127</v>
      </c>
      <c r="B30" s="52" t="s">
        <v>559</v>
      </c>
      <c r="C30" s="53" t="s">
        <v>342</v>
      </c>
      <c r="D30" s="53" t="s">
        <v>534</v>
      </c>
      <c r="E30" s="52" t="s">
        <v>468</v>
      </c>
      <c r="F30" s="53" t="s">
        <v>546</v>
      </c>
      <c r="G30" s="52" t="s">
        <v>560</v>
      </c>
      <c r="H30" s="53" cm="1">
        <f t="array" ref="H30">SUMPRODUCT(--ISNUMBER(SEARCH(", "&amp;A30&amp;",",", "&amp;Riesgos!$N$4:$N$89&amp;",")))</f>
        <v>2</v>
      </c>
      <c r="I30" s="53" cm="1">
        <f t="array" ref="I30">SUMPRODUCT(ISNUMBER(SEARCH(", "&amp;A30&amp;",",", "&amp;Riesgos!$N$4:$N$89&amp;","))*(Riesgos!$J$4:$J$89="CRÍTICO"))</f>
        <v>0</v>
      </c>
      <c r="J30" s="53" cm="1">
        <f t="array" ref="J30">SUMPRODUCT(ISNUMBER(SEARCH(", "&amp;A30&amp;",",", "&amp;Riesgos!$N$4:$N$89&amp;","))*(Riesgos!$J$4:$J$89="MEDIO-ALTO"))</f>
        <v>0</v>
      </c>
    </row>
    <row r="31" spans="1:10" ht="126.5" x14ac:dyDescent="0.35">
      <c r="A31" s="54" t="s">
        <v>307</v>
      </c>
      <c r="B31" s="52" t="s">
        <v>561</v>
      </c>
      <c r="C31" s="53" t="s">
        <v>394</v>
      </c>
      <c r="D31" s="53" t="s">
        <v>534</v>
      </c>
      <c r="E31" s="52" t="s">
        <v>488</v>
      </c>
      <c r="F31" s="53" t="s">
        <v>550</v>
      </c>
      <c r="G31" s="52" t="s">
        <v>562</v>
      </c>
      <c r="H31" s="53" cm="1">
        <f t="array" ref="H31">SUMPRODUCT(--ISNUMBER(SEARCH(", "&amp;A31&amp;",",", "&amp;Riesgos!$N$4:$N$89&amp;",")))</f>
        <v>3</v>
      </c>
      <c r="I31" s="53" cm="1">
        <f t="array" ref="I31">SUMPRODUCT(ISNUMBER(SEARCH(", "&amp;A31&amp;",",", "&amp;Riesgos!$N$4:$N$89&amp;","))*(Riesgos!$J$4:$J$89="CRÍTICO"))</f>
        <v>0</v>
      </c>
      <c r="J31" s="53" cm="1">
        <f t="array" ref="J31">SUMPRODUCT(ISNUMBER(SEARCH(", "&amp;A31&amp;",",", "&amp;Riesgos!$N$4:$N$89&amp;","))*(Riesgos!$J$4:$J$89="MEDIO-ALTO"))</f>
        <v>0</v>
      </c>
    </row>
    <row r="32" spans="1:10" ht="92" x14ac:dyDescent="0.35">
      <c r="A32" s="54" t="s">
        <v>563</v>
      </c>
      <c r="B32" s="52" t="s">
        <v>564</v>
      </c>
      <c r="C32" s="53" t="s">
        <v>359</v>
      </c>
      <c r="D32" s="53" t="s">
        <v>534</v>
      </c>
      <c r="E32" s="52" t="s">
        <v>473</v>
      </c>
      <c r="F32" s="53" t="s">
        <v>565</v>
      </c>
      <c r="G32" s="52" t="s">
        <v>566</v>
      </c>
      <c r="H32" s="53" cm="1">
        <f t="array" ref="H32">SUMPRODUCT(--ISNUMBER(SEARCH(", "&amp;A32&amp;",",", "&amp;Riesgos!$N$4:$N$89&amp;",")))</f>
        <v>0</v>
      </c>
      <c r="I32" s="53" cm="1">
        <f t="array" ref="I32">SUMPRODUCT(ISNUMBER(SEARCH(", "&amp;A32&amp;",",", "&amp;Riesgos!$N$4:$N$89&amp;","))*(Riesgos!$J$4:$J$89="CRÍTICO"))</f>
        <v>0</v>
      </c>
      <c r="J32" s="53" cm="1">
        <f t="array" ref="J32">SUMPRODUCT(ISNUMBER(SEARCH(", "&amp;A32&amp;",",", "&amp;Riesgos!$N$4:$N$89&amp;","))*(Riesgos!$J$4:$J$89="MEDIO-ALTO"))</f>
        <v>0</v>
      </c>
    </row>
    <row r="33" spans="1:10" ht="103.5" x14ac:dyDescent="0.35">
      <c r="A33" s="54" t="s">
        <v>567</v>
      </c>
      <c r="B33" s="52" t="s">
        <v>568</v>
      </c>
      <c r="C33" s="53" t="s">
        <v>359</v>
      </c>
      <c r="D33" s="53" t="s">
        <v>534</v>
      </c>
      <c r="E33" s="52" t="s">
        <v>569</v>
      </c>
      <c r="F33" s="53" t="s">
        <v>570</v>
      </c>
      <c r="G33" s="52" t="s">
        <v>571</v>
      </c>
      <c r="H33" s="53" cm="1">
        <f t="array" ref="H33">SUMPRODUCT(--ISNUMBER(SEARCH(", "&amp;A33&amp;",",", "&amp;Riesgos!$N$4:$N$89&amp;",")))</f>
        <v>0</v>
      </c>
      <c r="I33" s="53" cm="1">
        <f t="array" ref="I33">SUMPRODUCT(ISNUMBER(SEARCH(", "&amp;A33&amp;",",", "&amp;Riesgos!$N$4:$N$89&amp;","))*(Riesgos!$J$4:$J$89="CRÍTICO"))</f>
        <v>0</v>
      </c>
      <c r="J33" s="53" cm="1">
        <f t="array" ref="J33">SUMPRODUCT(ISNUMBER(SEARCH(", "&amp;A33&amp;",",", "&amp;Riesgos!$N$4:$N$89&amp;","))*(Riesgos!$J$4:$J$89="MEDIO-ALTO"))</f>
        <v>0</v>
      </c>
    </row>
    <row r="34" spans="1:10" ht="126.5" x14ac:dyDescent="0.35">
      <c r="A34" s="54" t="s">
        <v>274</v>
      </c>
      <c r="B34" s="52" t="s">
        <v>572</v>
      </c>
      <c r="C34" s="53" t="s">
        <v>354</v>
      </c>
      <c r="D34" s="53" t="s">
        <v>534</v>
      </c>
      <c r="E34" s="52" t="s">
        <v>473</v>
      </c>
      <c r="F34" s="53" t="s">
        <v>546</v>
      </c>
      <c r="G34" s="52" t="s">
        <v>573</v>
      </c>
      <c r="H34" s="53" cm="1">
        <f t="array" ref="H34">SUMPRODUCT(--ISNUMBER(SEARCH(", "&amp;A34&amp;",",", "&amp;Riesgos!$N$4:$N$89&amp;",")))</f>
        <v>1</v>
      </c>
      <c r="I34" s="53" cm="1">
        <f t="array" ref="I34">SUMPRODUCT(ISNUMBER(SEARCH(", "&amp;A34&amp;",",", "&amp;Riesgos!$N$4:$N$89&amp;","))*(Riesgos!$J$4:$J$89="CRÍTICO"))</f>
        <v>0</v>
      </c>
      <c r="J34" s="53" cm="1">
        <f t="array" ref="J34">SUMPRODUCT(ISNUMBER(SEARCH(", "&amp;A34&amp;",",", "&amp;Riesgos!$N$4:$N$89&amp;","))*(Riesgos!$J$4:$J$89="MEDIO-ALTO"))</f>
        <v>1</v>
      </c>
    </row>
  </sheetData>
  <mergeCells count="1">
    <mergeCell ref="A1:J1"/>
  </mergeCells>
  <conditionalFormatting sqref="D4:D34">
    <cfRule type="containsText" dxfId="6" priority="1" operator="containsText" text="Crítica">
      <formula>NOT(ISERROR(SEARCH("Crítica",D4)))</formula>
    </cfRule>
  </conditionalFormatting>
  <conditionalFormatting sqref="D4:D34">
    <cfRule type="containsText" dxfId="5" priority="2" operator="containsText" text="Alta">
      <formula>NOT(ISERROR(SEARCH("Alta",D4)))</formula>
    </cfRule>
  </conditionalFormatting>
  <conditionalFormatting sqref="D4:D34">
    <cfRule type="containsText" dxfId="4" priority="3" operator="containsText" text="Media">
      <formula>NOT(ISERROR(SEARCH("Media",D4)))</formula>
    </cfRule>
  </conditionalFormatting>
  <pageMargins left="0.7" right="0.7" top="0.75" bottom="0.75" header="0.3" footer="0.3"/>
</worksheet>
</file>

<file path=docMetadata/LabelInfo.xml><?xml version="1.0" encoding="utf-8"?>
<clbl:labelList xmlns:clbl="http://schemas.microsoft.com/office/2020/mipLabelMetadata">
  <clbl:label id="{5b12e993-7b75-4aa5-a2bc-4990b444fe38}" enabled="1" method="Standard" siteId="{c9de2b36-bcfc-48fb-a955-391bcfd4938c}" contentBits="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Dashboard</vt:lpstr>
      <vt:lpstr>Variables</vt:lpstr>
      <vt:lpstr>Riesgos</vt:lpstr>
      <vt:lpstr>Matriz de Riesgos</vt:lpstr>
      <vt:lpstr>Plan de Acción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Jose Antonio Serrano Brands</cp:lastModifiedBy>
  <cp:revision>0</cp:revision>
  <dcterms:created xsi:type="dcterms:W3CDTF">2026-04-02T21:30:47Z</dcterms:created>
  <dcterms:modified xsi:type="dcterms:W3CDTF">2026-10-02T22:46:44Z</dcterms:modified>
  <dc:language>en-US</dc:language>
</cp:coreProperties>
</file>