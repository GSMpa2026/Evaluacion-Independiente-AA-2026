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uperUser\Serrano documents\01 - Consultoría &amp; Clientes\Aseguradora Ancon\"/>
    </mc:Choice>
  </mc:AlternateContent>
  <xr:revisionPtr revIDLastSave="0" documentId="8_{CDF361CD-EDCA-482D-8811-B70B186C6B00}" xr6:coauthVersionLast="47" xr6:coauthVersionMax="47" xr10:uidLastSave="{00000000-0000-0000-0000-000000000000}"/>
  <bookViews>
    <workbookView xWindow="-28920" yWindow="-120" windowWidth="29040" windowHeight="15720" tabRatio="500" activeTab="2" xr2:uid="{00000000-000D-0000-FFFF-FFFF00000000}"/>
  </bookViews>
  <sheets>
    <sheet name="Variables" sheetId="1" r:id="rId1"/>
    <sheet name="Riesgos" sheetId="2" r:id="rId2"/>
    <sheet name="Matriz de Riesgo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G25" i="3" l="1"/>
  <c r="G24" i="3"/>
  <c r="H50" i="2"/>
  <c r="F50" i="2"/>
  <c r="I50" i="2" s="1"/>
  <c r="J50" i="2" s="1"/>
  <c r="H49" i="2"/>
  <c r="F49" i="2"/>
  <c r="I49" i="2" s="1"/>
  <c r="J49" i="2" s="1"/>
  <c r="H48" i="2"/>
  <c r="F48" i="2"/>
  <c r="I48" i="2" s="1"/>
  <c r="J48" i="2" s="1"/>
  <c r="H47" i="2"/>
  <c r="F47" i="2"/>
  <c r="I47" i="2" s="1"/>
  <c r="J47" i="2" s="1"/>
  <c r="H46" i="2"/>
  <c r="F46" i="2"/>
  <c r="I46" i="2" s="1"/>
  <c r="J46" i="2" s="1"/>
  <c r="H45" i="2"/>
  <c r="F45" i="2"/>
  <c r="I45" i="2" s="1"/>
  <c r="J45" i="2" s="1"/>
  <c r="H44" i="2"/>
  <c r="F44" i="2"/>
  <c r="I44" i="2" s="1"/>
  <c r="J44" i="2" s="1"/>
  <c r="H43" i="2"/>
  <c r="F43" i="2"/>
  <c r="I43" i="2" s="1"/>
  <c r="J43" i="2" s="1"/>
  <c r="H42" i="2"/>
  <c r="F42" i="2"/>
  <c r="I42" i="2" s="1"/>
  <c r="J42" i="2" s="1"/>
  <c r="H41" i="2"/>
  <c r="F41" i="2"/>
  <c r="I41" i="2" s="1"/>
  <c r="J41" i="2" s="1"/>
  <c r="H40" i="2"/>
  <c r="F40" i="2"/>
  <c r="I40" i="2" s="1"/>
  <c r="J40" i="2" s="1"/>
  <c r="H39" i="2"/>
  <c r="F39" i="2"/>
  <c r="I39" i="2" s="1"/>
  <c r="J39" i="2" s="1"/>
  <c r="H38" i="2"/>
  <c r="F38" i="2"/>
  <c r="I38" i="2" s="1"/>
  <c r="J38" i="2" s="1"/>
  <c r="H37" i="2"/>
  <c r="F37" i="2"/>
  <c r="I37" i="2" s="1"/>
  <c r="J37" i="2" s="1"/>
  <c r="H36" i="2"/>
  <c r="F36" i="2"/>
  <c r="I36" i="2" s="1"/>
  <c r="J36" i="2" s="1"/>
  <c r="H35" i="2"/>
  <c r="F35" i="2"/>
  <c r="I35" i="2" s="1"/>
  <c r="J35" i="2" s="1"/>
  <c r="H34" i="2"/>
  <c r="F34" i="2"/>
  <c r="I34" i="2" s="1"/>
  <c r="J34" i="2" s="1"/>
  <c r="H33" i="2"/>
  <c r="F33" i="2"/>
  <c r="I33" i="2" s="1"/>
  <c r="J33" i="2" s="1"/>
  <c r="H32" i="2"/>
  <c r="F32" i="2"/>
  <c r="I32" i="2" s="1"/>
  <c r="J32" i="2" s="1"/>
  <c r="H31" i="2"/>
  <c r="F31" i="2"/>
  <c r="I31" i="2" s="1"/>
  <c r="J31" i="2" s="1"/>
  <c r="H30" i="2"/>
  <c r="F30" i="2"/>
  <c r="I30" i="2" s="1"/>
  <c r="J30" i="2" s="1"/>
  <c r="H29" i="2"/>
  <c r="F29" i="2"/>
  <c r="I29" i="2" s="1"/>
  <c r="J29" i="2" s="1"/>
  <c r="H28" i="2"/>
  <c r="F28" i="2"/>
  <c r="I28" i="2" s="1"/>
  <c r="J28" i="2" s="1"/>
  <c r="H27" i="2"/>
  <c r="F27" i="2"/>
  <c r="I27" i="2" s="1"/>
  <c r="J27" i="2" s="1"/>
  <c r="H26" i="2"/>
  <c r="F26" i="2"/>
  <c r="I26" i="2" s="1"/>
  <c r="J26" i="2" s="1"/>
  <c r="H25" i="2"/>
  <c r="F25" i="2"/>
  <c r="I25" i="2" s="1"/>
  <c r="J25" i="2" s="1"/>
  <c r="H24" i="2"/>
  <c r="F24" i="2"/>
  <c r="I24" i="2" s="1"/>
  <c r="J24" i="2" s="1"/>
  <c r="H23" i="2"/>
  <c r="F23" i="2"/>
  <c r="I23" i="2" s="1"/>
  <c r="J23" i="2" s="1"/>
  <c r="H22" i="2"/>
  <c r="F22" i="2"/>
  <c r="I22" i="2" s="1"/>
  <c r="J22" i="2" s="1"/>
  <c r="H21" i="2"/>
  <c r="F21" i="2"/>
  <c r="I21" i="2" s="1"/>
  <c r="J21" i="2" s="1"/>
  <c r="H20" i="2"/>
  <c r="F20" i="2"/>
  <c r="I20" i="2" s="1"/>
  <c r="J20" i="2" s="1"/>
  <c r="H19" i="2"/>
  <c r="F19" i="2"/>
  <c r="I19" i="2" s="1"/>
  <c r="J19" i="2" s="1"/>
  <c r="I18" i="2"/>
  <c r="J18" i="2" s="1"/>
  <c r="H18" i="2"/>
  <c r="F18" i="2"/>
  <c r="I17" i="2"/>
  <c r="J17" i="2" s="1"/>
  <c r="H17" i="2"/>
  <c r="F17" i="2"/>
  <c r="I16" i="2"/>
  <c r="J16" i="2" s="1"/>
  <c r="H16" i="2"/>
  <c r="F16" i="2"/>
  <c r="I15" i="2"/>
  <c r="J15" i="2" s="1"/>
  <c r="H15" i="2"/>
  <c r="F15" i="2"/>
  <c r="H14" i="2"/>
  <c r="F14" i="2"/>
  <c r="I14" i="2" s="1"/>
  <c r="J14" i="2" s="1"/>
  <c r="H13" i="2"/>
  <c r="F13" i="2"/>
  <c r="I13" i="2" s="1"/>
  <c r="J13" i="2" s="1"/>
  <c r="H12" i="2"/>
  <c r="F12" i="2"/>
  <c r="I12" i="2" s="1"/>
  <c r="J12" i="2" s="1"/>
  <c r="H11" i="2"/>
  <c r="F11" i="2"/>
  <c r="I11" i="2" s="1"/>
  <c r="J11" i="2" s="1"/>
  <c r="H10" i="2"/>
  <c r="F10" i="2"/>
  <c r="I10" i="2" s="1"/>
  <c r="J10" i="2" s="1"/>
  <c r="H9" i="2"/>
  <c r="F9" i="2"/>
  <c r="I9" i="2" s="1"/>
  <c r="J9" i="2" s="1"/>
  <c r="H8" i="2"/>
  <c r="F8" i="2"/>
  <c r="I8" i="2" s="1"/>
  <c r="J8" i="2" s="1"/>
  <c r="H7" i="2"/>
  <c r="F7" i="2"/>
  <c r="I7" i="2" s="1"/>
  <c r="J7" i="2" s="1"/>
  <c r="H6" i="2"/>
  <c r="F6" i="2"/>
  <c r="I6" i="2" s="1"/>
  <c r="J6" i="2" s="1"/>
  <c r="H5" i="2"/>
  <c r="F5" i="2"/>
  <c r="I5" i="2" s="1"/>
  <c r="J5" i="2" s="1"/>
  <c r="H4" i="2"/>
  <c r="F4" i="2"/>
  <c r="I4" i="2" s="1"/>
  <c r="G7" i="3" l="1"/>
  <c r="E5" i="3"/>
  <c r="J4" i="2"/>
  <c r="F7" i="3"/>
  <c r="D5" i="3"/>
  <c r="E7" i="3"/>
  <c r="C5" i="3"/>
  <c r="D7" i="3"/>
  <c r="G4" i="3"/>
  <c r="C7" i="3"/>
  <c r="F4" i="3"/>
  <c r="G6" i="3"/>
  <c r="E4" i="3"/>
  <c r="F6" i="3"/>
  <c r="D4" i="3"/>
  <c r="G8" i="3"/>
  <c r="E6" i="3"/>
  <c r="C4" i="3"/>
  <c r="F8" i="3"/>
  <c r="D6" i="3"/>
  <c r="E8" i="3"/>
  <c r="C6" i="3"/>
  <c r="D8" i="3"/>
  <c r="G5" i="3"/>
  <c r="C8" i="3"/>
  <c r="F5" i="3"/>
  <c r="G23" i="3" l="1"/>
  <c r="G22" i="3"/>
  <c r="G21" i="3"/>
  <c r="G20" i="3"/>
  <c r="G19" i="3"/>
</calcChain>
</file>

<file path=xl/sharedStrings.xml><?xml version="1.0" encoding="utf-8"?>
<sst xmlns="http://schemas.openxmlformats.org/spreadsheetml/2006/main" count="246" uniqueCount="164">
  <si>
    <t>ASEGURADORA ANCÓN, S.A. – VARIABLES DE VALORACIÓN DE RIESGOS BC/FT/FPADM</t>
  </si>
  <si>
    <t>ESCALA DE PROBABILIDAD</t>
  </si>
  <si>
    <t>Nombre</t>
  </si>
  <si>
    <t>Descripción</t>
  </si>
  <si>
    <t>Puntaje</t>
  </si>
  <si>
    <t>Frecuente</t>
  </si>
  <si>
    <t>La probabilidad de ocurrencia del riesgo es muy alta; sucede en la mayoría de las circunstancias.</t>
  </si>
  <si>
    <t>Probable</t>
  </si>
  <si>
    <t>Es probable que el riesgo ocurra; los controles o procesos no son suficientemente efectivos para prevenirlo.</t>
  </si>
  <si>
    <t>Ocasional</t>
  </si>
  <si>
    <t>Existe la posibilidad de que el riesgo ocurra; los controles de mitigación no son del todo efectivos.</t>
  </si>
  <si>
    <t>Posible</t>
  </si>
  <si>
    <t>Existe una posibilidad limitada de que el riesgo ocurra; es poco probable con los controles actuales.</t>
  </si>
  <si>
    <t>Improbable</t>
  </si>
  <si>
    <t>La probabilidad de materialización es extremadamente baja; los controles son altamente efectivos.</t>
  </si>
  <si>
    <t>ESCALA DE IMPACTO</t>
  </si>
  <si>
    <t>Catastrófico</t>
  </si>
  <si>
    <t>La materialización causaría impacto severo e irreversible: sanciones regulatorias mayores, pérdidas masivas, daño reputacional crítico.</t>
  </si>
  <si>
    <t>Mayor</t>
  </si>
  <si>
    <t>Generaría pérdidas o sanciones significativas, requiriendo intervención inmediata de la alta gerencia y la Junta Directiva.</t>
  </si>
  <si>
    <t>Moderado</t>
  </si>
  <si>
    <t>Impacto considerable: puede afectar operaciones o comprometer el cumplimiento regulatorio de forma parcial.</t>
  </si>
  <si>
    <t>Menor</t>
  </si>
  <si>
    <t>Impacto leve; genera correcciones administrativas menores sin afectar operaciones críticas.</t>
  </si>
  <si>
    <t>Insignificante</t>
  </si>
  <si>
    <t>Impacto mínimo sobre la operación; se resuelve con controles normales sin mayor afectación.</t>
  </si>
  <si>
    <t>TABLA DE NIVELES DE RIESGO (P × I)</t>
  </si>
  <si>
    <t>CLAVE (PROB:IMP)</t>
  </si>
  <si>
    <t>NIVEL DE RIESGO</t>
  </si>
  <si>
    <t>PUNTAJE P×I</t>
  </si>
  <si>
    <t>5:1</t>
  </si>
  <si>
    <t>MEDIO</t>
  </si>
  <si>
    <t>5:2</t>
  </si>
  <si>
    <t>MEDIO-ALTO</t>
  </si>
  <si>
    <t>5:3</t>
  </si>
  <si>
    <t>CRÍTICO</t>
  </si>
  <si>
    <t>5:4</t>
  </si>
  <si>
    <t>5:5</t>
  </si>
  <si>
    <t>4:1</t>
  </si>
  <si>
    <t>4:2</t>
  </si>
  <si>
    <t>4:3</t>
  </si>
  <si>
    <t>4:4</t>
  </si>
  <si>
    <t>4:5</t>
  </si>
  <si>
    <t>3:1</t>
  </si>
  <si>
    <t>BAJO</t>
  </si>
  <si>
    <t>3:2</t>
  </si>
  <si>
    <t>3:3</t>
  </si>
  <si>
    <t>3:4</t>
  </si>
  <si>
    <t>3:5</t>
  </si>
  <si>
    <t>2:1</t>
  </si>
  <si>
    <t>2:2</t>
  </si>
  <si>
    <t>2:3</t>
  </si>
  <si>
    <t>2:4</t>
  </si>
  <si>
    <t>2:5</t>
  </si>
  <si>
    <t>1:1</t>
  </si>
  <si>
    <t>1:2</t>
  </si>
  <si>
    <t>1:3</t>
  </si>
  <si>
    <t>1:4</t>
  </si>
  <si>
    <t>1:5</t>
  </si>
  <si>
    <t>OM</t>
  </si>
  <si>
    <t>OPT. DE MEJORA</t>
  </si>
  <si>
    <t>N/A</t>
  </si>
  <si>
    <t>DESCRIPCIÓN DE NIVELES DE RIESGO</t>
  </si>
  <si>
    <t>Nivel</t>
  </si>
  <si>
    <t>Descripción / Acción Requerida</t>
  </si>
  <si>
    <t>Puntaje P×I</t>
  </si>
  <si>
    <t>Riesgo aceptable. Controles mínimos son suficientes. Monitoreo semestral.</t>
  </si>
  <si>
    <t>1 – 3</t>
  </si>
  <si>
    <t>Riesgo manejable. Requiere medidas correctivas (60-90 días). Monitoreo trimestral.</t>
  </si>
  <si>
    <t>4 – 6</t>
  </si>
  <si>
    <t>Riesgo significativo. Requiere plan de acción formal (30-60 días). Monitoreo mensual.</t>
  </si>
  <si>
    <t>8 – 12</t>
  </si>
  <si>
    <t>Riesgo inaceptable. Acción inmediata (0-30 días). Reporte obligatorio a JD y Oficial de Cumplimiento.</t>
  </si>
  <si>
    <t>15 – 25</t>
  </si>
  <si>
    <t>No es hallazgo de incumplimiento. Mejora preventiva o de adecuación normativa prospectiva.</t>
  </si>
  <si>
    <t>ASEGURADORA ANCÓN, S.A. – MATRIZ DE RIESGO GSM – EVALUACIÓN INDEPENDIENTE 2024-2025</t>
  </si>
  <si>
    <t>DESCRIPCIÓN DEL HALLAZGO / OPORTUNIDAD DE MEJORA</t>
  </si>
  <si>
    <t>TIPO</t>
  </si>
  <si>
    <t>DOCUMENTO(S) AFECTADO(S)</t>
  </si>
  <si>
    <t>OBSERVACIÓN / NOTA JS</t>
  </si>
  <si>
    <t>PROBABILIDAD</t>
  </si>
  <si>
    <t>PROB.
PUNT.</t>
  </si>
  <si>
    <t>IMPACTO</t>
  </si>
  <si>
    <t>IMP.
PUNT.</t>
  </si>
  <si>
    <t>CALIFIC.
P:I</t>
  </si>
  <si>
    <t>Ausencia o insuficiencia en el mantenimiento del Registro de Operaciones Sospechosas (ROS). Requiere verificación del estado actual con el Oficial de Cumplimiento. Hallazgo formal documentado en Inspección SSRP 2022 (DSR-0924-2023).</t>
  </si>
  <si>
    <t>Brecha</t>
  </si>
  <si>
    <t>MPREMET-21; Informe SSRP 2022</t>
  </si>
  <si>
    <t>Verificar ROS actualizado con el Oficial de Cumplimiento antes de cierre del informe.</t>
  </si>
  <si>
    <t>Matriz de Riesgo Institucional no contempla los factores BC/FT/FPADM exigidos (clientes, geografías, productos, servicios, canales de distribución). Solo cubre riesgos operativos. Incumplimiento formal documentado por SSRP.</t>
  </si>
  <si>
    <t>Informe SSRP 2022</t>
  </si>
  <si>
    <t>Prioridad alta. Debe elaborarse matriz BC/FT separada de la operativa.</t>
  </si>
  <si>
    <t>Área de Cumplimiento con funciones combinadas de PBC/FT/FPADM y asesoría legal. Insuficiencia estructural detectada por SSRP. Verificar si la contratación de asistente resuelve la insuficiencia documentada.</t>
  </si>
  <si>
    <t>Informe SSRP 2022; CAPAC-8</t>
  </si>
  <si>
    <t>Confirmar si la nueva contratación satisface el requerimiento de la SSRP.</t>
  </si>
  <si>
    <t>Clientes emitidos sin perfil de riesgo completo en el sistema, en potencial violación de la política institucional. La política establece que no se permite emisión sin perfil de riesgo. Requiere validación mediante revisión de expedientes.</t>
  </si>
  <si>
    <t>MPREMET-21; CONCLI-15; Informe SSRP 2022</t>
  </si>
  <si>
    <t>Revisar muestra de expedientes del período para cuantificar el incumplimiento.</t>
  </si>
  <si>
    <t>Monitoreo transaccional manual y reactivo (procesado a fin de mes, no en tiempo real). Sistema de monitoreo automatizado (DEIVID) aún en revisión técnica sin fecha comprometida de implementación.</t>
  </si>
  <si>
    <t>GESADHE-12; DNR ALERTAS MONITOREOS; Informe SSRP 2022</t>
  </si>
  <si>
    <t>Solicitar cronograma formal de implementación DEIVID con responsable y fecha.</t>
  </si>
  <si>
    <t>Reclamos tramitados sin verificación del perfil de riesgo del asegurado (R3) y sin actualización de Debida Diligencia (R4) con frecuencia MUY ALTA. El control depende del criterio del empleado, no de automatización del sistema.</t>
  </si>
  <si>
    <t>Eval. Riesgo Reclamos V0 20250721</t>
  </si>
  <si>
    <t>El nivel de riesgo de R3 y R4 puede estar subestimado. Coordinar revisión con TS.</t>
  </si>
  <si>
    <t>Monitoreo de noticias adversas discontinuo (meses sin cobertura documentada). Los reportes existentes carecen de campos requeridos: fecha de alerta, área, analista, descripción, resultado, aprobador y fecha de cierre.</t>
  </si>
  <si>
    <t>GESADHE-12; Informe SSRP 2022</t>
  </si>
  <si>
    <t>Implementar plantilla estándar para reportes de monitoreo de noticias con todos los campos.</t>
  </si>
  <si>
    <t>Búsquedas en listas de sanción (OFAC, ONU) realizadas únicamente para clientes de alto riesgo. Requiere validación del alcance actual en el sistema DEIVID. Nota: criterio revisado por GSM en 2023; coordinar posición definitiva con TS.</t>
  </si>
  <si>
    <t>Aclarar con TS si el alcance vigente de la búsqueda en listas satisface el Acuerdo 03-2022.</t>
  </si>
  <si>
    <t>Aprobaciones especiales con posible vencimiento o documentación incompleta. Requiere validación mediante revisión de expedientes actualizada. No puede basarse únicamente en hallazgo de la SSRP de 2022.</t>
  </si>
  <si>
    <t>Revisar expedientes con aprobaciones especiales del período julio 2024-junio 2025.</t>
  </si>
  <si>
    <t>BRD del sistema de alertas de monitoreo (DNR ALERTAS MONITOREOS) con Plan de Pruebas incompleto, firmas de aprobación en blanco y sin fecha de implementación comprometida. Documento formal sin validez ejecutiva.</t>
  </si>
  <si>
    <t>DNR ALERTAS MONITOREOS</t>
  </si>
  <si>
    <t>Requerir versión aprobada del BRD con firmas y cronograma de implementación.</t>
  </si>
  <si>
    <t>Evaluación de Riesgo del proceso de Reclamos (V0) en estado de borrador sin aprobación formal. El nivel de impacto de los controles R3 y R4 puede estar subestimado sin considerar el riesgo regulatorio BC/FT.</t>
  </si>
  <si>
    <t>Eval. Riesgo Reclamos V0; Eval. Riesgo Emisión V2</t>
  </si>
  <si>
    <t>Validar con TS estatus formal del documento y aprobar versión definitiva.</t>
  </si>
  <si>
    <t>Actualización normativa al Acuerdo 07-2025 (SSRP): La totalidad de las políticas institucionales referencian el Acuerdo 03-2022, vigente durante el período evaluado. La adecuación al nuevo marco normativo es una mejora prospectiva prioritaria para el 2T-2026. No constituye hallazgo de incumplimiento del período evaluado.</t>
  </si>
  <si>
    <t>Oportunidad de Mejora</t>
  </si>
  <si>
    <t>MPREMET-21; CONCLI-15; GESADHE-12; MPRMOPTR-20; CAPAC-8; RESYCON-7; CONASEM-5; CONSUREG-10; Evaluaciones de Riesgo</t>
  </si>
  <si>
    <t>Elaborar plan de adecuación normativa con matriz de cambios del Acuerdo 03-2022 vs Acuerdo 07-2025.</t>
  </si>
  <si>
    <t>Adopción formal del catálogo de señales de alerta UAF 2025: Se utilizó el catálogo de la UAF durante la evaluación. Se recomienda que Ancón lo adopte formalmente mediante acto de Comité de Cumplimiento o desarrolle un catálogo institucional propio adaptado a su perfil de riesgos como aseguradora.</t>
  </si>
  <si>
    <t>Señales de Alerta UAF 2025; Comité de Cumplimiento</t>
  </si>
  <si>
    <t>Proponer al Comité de Cumplimiento la adopción formal del catálogo UAF 2025.</t>
  </si>
  <si>
    <t>Implementar proceso formal de control de cambios normativos: Establecer un procedimiento institucional que asegure la actualización automática de referencias regulatorias en todos los documentos cuando entre en vigencia una nueva norma emitida por la SSRP u otro regulador.</t>
  </si>
  <si>
    <t>Marco normativo institucional; Oficial de Cumplimiento</t>
  </si>
  <si>
    <t>Diseñar procedimiento de alertas normativas con responsables y plazos de actualización.</t>
  </si>
  <si>
    <t>Verificación integral de expedientes de intermediarios (Sujetos Regulados Grupo B): Confirmar que todos los expedientes de corredores, agencias y reaseguradoras estén al día conforme a los plazos de actualización bienal/anual establecidos en POL-CUM-27-CONSUREG-10.</t>
  </si>
  <si>
    <t>POL-CUM-27-CONSUREG-10; Área de Intermediarios</t>
  </si>
  <si>
    <t>Realizar auditoría puntual de expedientes de intermediarios antes de cierre de año.</t>
  </si>
  <si>
    <t>MAPA DE RIESGO – ASEGURADORA ANCÓN, S.A. (Probabilidad × Impacto)</t>
  </si>
  <si>
    <t>Los valores de cada celda son generados automáticamente desde la hoja Riesgos  |  COUNTIF(Riesgos!$I$4:$I$50)  |  Evaluación Independiente 2024-2025</t>
  </si>
  <si>
    <t>PROBABILIDAD ↓  /  IMPACTO →</t>
  </si>
  <si>
    <t>1
Insignificante</t>
  </si>
  <si>
    <t>2
Menor</t>
  </si>
  <si>
    <t>3
Moderado</t>
  </si>
  <si>
    <t>4
Mayor</t>
  </si>
  <si>
    <t>5
Catastrófico</t>
  </si>
  <si>
    <t>5  Frecuente</t>
  </si>
  <si>
    <t>4  Probable</t>
  </si>
  <si>
    <t>3  Ocasional</t>
  </si>
  <si>
    <t>2  Posible</t>
  </si>
  <si>
    <t>1  Improbable</t>
  </si>
  <si>
    <t>Score</t>
  </si>
  <si>
    <t>LEYENDA DE NIVELES DE RIESGO</t>
  </si>
  <si>
    <t>P×I ≥ 15</t>
  </si>
  <si>
    <t>Acción inmediata (0-30 días). Reporte obligatorio a Junta Directiva y Oficial de Cumplimiento.</t>
  </si>
  <si>
    <t>P×I 8-12</t>
  </si>
  <si>
    <t>Plan de acción formal (30-60 días). Monitoreo mensual.</t>
  </si>
  <si>
    <t>P×I 4-6</t>
  </si>
  <si>
    <t>Medidas correctivas (60-90 días). Monitoreo trimestral.</t>
  </si>
  <si>
    <t>P×I 1-3</t>
  </si>
  <si>
    <t>Riesgo aceptable con controles mínimos. Monitoreo semestral.</t>
  </si>
  <si>
    <t>No es hallazgo de incumplimiento. Mejora preventiva o adecuación normativa prospectiva.</t>
  </si>
  <si>
    <t>RESUMEN – BRECHAS Y OPORTUNIDADES DE MEJORA  (Período: julio 2024 – junio 2025)</t>
  </si>
  <si>
    <t>Brechas CRÍTICAS</t>
  </si>
  <si>
    <t>Brechas MEDIO-ALTO</t>
  </si>
  <si>
    <t>Brechas MEDIAS</t>
  </si>
  <si>
    <t>Brechas BAJAS</t>
  </si>
  <si>
    <t>Oportunidades de Mejora</t>
  </si>
  <si>
    <t>TOTAL HALLAZGOS (Brechas)</t>
  </si>
  <si>
    <t>TOTAL REGISTROS EN MATRIZ</t>
  </si>
  <si>
    <t>Período: 1 julio 2024 – 30 junio 2025  |  Elaborado: José A. Serrano   |  Fecha: 02 de abril de 2026</t>
  </si>
  <si>
    <t>Evaluación Independiente 2024-2025  |  Preparado por: José A. Serrano   |  02 abril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</si>
</sst>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General"/>
  </numFmts>
  <fonts count="18" x14ac:knownFonts="1">
    <font>
      <sz val="11"/>
      <color theme="1"/>
      <name val="Calibri"/>
      <family val="2"/>
      <charset val="1"/>
    </font>
    <font>
      <b/>
      <sz val="13"/>
      <color rgb="FFFFFFFF"/>
      <name val="Arial"/>
      <charset val="1"/>
    </font>
    <font>
      <sz val="9"/>
      <color rgb="FFFFFFFF"/>
      <name val="Arial"/>
      <charset val="1"/>
    </font>
    <font>
      <b/>
      <sz val="10"/>
      <color rgb="FFFFFFFF"/>
      <name val="Arial"/>
      <charset val="1"/>
    </font>
    <font>
      <b/>
      <sz val="9"/>
      <color rgb="FFFFFFFF"/>
      <name val="Arial"/>
      <charset val="1"/>
    </font>
    <font>
      <sz val="8"/>
      <color rgb="FF404040"/>
      <name val="Arial"/>
      <charset val="1"/>
    </font>
    <font>
      <b/>
      <sz val="9"/>
      <color rgb="FF000000"/>
      <name val="Arial"/>
      <charset val="1"/>
    </font>
    <font>
      <sz val="8"/>
      <color rgb="FF000000"/>
      <name val="Arial"/>
      <charset val="1"/>
    </font>
    <font>
      <sz val="9"/>
      <color rgb="FF000000"/>
      <name val="Arial"/>
      <charset val="1"/>
    </font>
    <font>
      <b/>
      <sz val="8"/>
      <color rgb="FFC00000"/>
      <name val="Arial"/>
      <charset val="1"/>
    </font>
    <font>
      <i/>
      <sz val="8"/>
      <color rgb="FF404040"/>
      <name val="Arial"/>
      <charset val="1"/>
    </font>
    <font>
      <i/>
      <sz val="8"/>
      <color rgb="FF000000"/>
      <name val="Arial"/>
      <charset val="1"/>
    </font>
    <font>
      <b/>
      <sz val="8"/>
      <color rgb="FF7030A0"/>
      <name val="Arial"/>
      <charset val="1"/>
    </font>
    <font>
      <b/>
      <sz val="11"/>
      <color rgb="FF000000"/>
      <name val="Arial"/>
      <charset val="1"/>
    </font>
    <font>
      <b/>
      <sz val="11"/>
      <color rgb="FFFFFFFF"/>
      <name val="Arial"/>
      <charset val="1"/>
    </font>
    <font>
      <b/>
      <sz val="8"/>
      <color rgb="FF000000"/>
      <name val="Arial"/>
      <charset val="1"/>
    </font>
    <font>
      <b/>
      <sz val="12"/>
      <color rgb="FFFFFFFF"/>
      <name val="Arial"/>
      <charset val="1"/>
    </font>
    <font>
      <b/>
      <sz val="12"/>
      <color rgb="FF000000"/>
      <name val="Arial"/>
      <charset val="1"/>
    </font>
  </fonts>
  <fills count="14">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C00000"/>
        <bgColor rgb="FF800000"/>
      </patternFill>
    </fill>
    <fill>
      <patternFill patternType="solid">
        <fgColor rgb="FFF2F2F2"/>
        <bgColor rgb="FFF5EFFE"/>
      </patternFill>
    </fill>
    <fill>
      <patternFill patternType="solid">
        <fgColor rgb="FFED7D31"/>
        <bgColor rgb="FFFF8080"/>
      </patternFill>
    </fill>
    <fill>
      <patternFill patternType="solid">
        <fgColor rgb="FFFFD966"/>
        <bgColor rgb="FFFFCCCC"/>
      </patternFill>
    </fill>
    <fill>
      <patternFill patternType="solid">
        <fgColor rgb="FF70AD47"/>
        <bgColor rgb="FF92D050"/>
      </patternFill>
    </fill>
    <fill>
      <patternFill patternType="solid">
        <fgColor rgb="FF92D050"/>
        <bgColor rgb="FF70AD47"/>
      </patternFill>
    </fill>
    <fill>
      <patternFill patternType="solid">
        <fgColor rgb="FF7030A0"/>
        <bgColor rgb="FF993366"/>
      </patternFill>
    </fill>
    <fill>
      <patternFill patternType="solid">
        <fgColor rgb="FFFFFFFF"/>
        <bgColor rgb="FFF2F2F2"/>
      </patternFill>
    </fill>
    <fill>
      <patternFill patternType="solid">
        <fgColor rgb="FFF5EFFE"/>
        <bgColor rgb="FFF2F2F2"/>
      </patternFill>
    </fill>
    <fill>
      <patternFill patternType="solid">
        <fgColor rgb="FFD6DCE4"/>
        <bgColor rgb="FFEAD9F7"/>
      </patternFill>
    </fill>
  </fills>
  <borders count="3">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7">
    <xf numFmtId="0" fontId="0" fillId="0" borderId="0" xfId="0"/>
    <xf numFmtId="0" fontId="16" fillId="2" borderId="1" xfId="0" applyFont="1" applyFill="1" applyBorder="1" applyAlignment="1">
      <alignment horizontal="center" vertical="center" wrapText="1"/>
    </xf>
    <xf numFmtId="0" fontId="16" fillId="10"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3" fillId="2" borderId="0" xfId="0" applyFont="1" applyFill="1" applyBorder="1" applyAlignment="1">
      <alignment horizontal="center" vertical="center" wrapText="1"/>
    </xf>
    <xf numFmtId="0" fontId="7" fillId="5" borderId="2" xfId="0" applyFont="1" applyFill="1" applyBorder="1" applyAlignment="1">
      <alignment horizontal="left" vertical="center" wrapText="1"/>
    </xf>
    <xf numFmtId="0" fontId="5" fillId="5" borderId="2"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1" fillId="2" borderId="0"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4" fillId="10"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8" fillId="11" borderId="2" xfId="0" applyFont="1" applyFill="1" applyBorder="1" applyAlignment="1">
      <alignment horizontal="left" vertical="center" wrapText="1"/>
    </xf>
    <xf numFmtId="0" fontId="9" fillId="11" borderId="2" xfId="0" applyFont="1" applyFill="1" applyBorder="1" applyAlignment="1">
      <alignment horizontal="center" vertical="center" wrapText="1"/>
    </xf>
    <xf numFmtId="0" fontId="10" fillId="11" borderId="2" xfId="0" applyFont="1" applyFill="1" applyBorder="1" applyAlignment="1">
      <alignment horizontal="left" vertical="center" wrapText="1"/>
    </xf>
    <xf numFmtId="0" fontId="11" fillId="11" borderId="2" xfId="0" applyFont="1" applyFill="1" applyBorder="1" applyAlignment="1">
      <alignment horizontal="left" vertical="center" wrapText="1"/>
    </xf>
    <xf numFmtId="0" fontId="6" fillId="11" borderId="2" xfId="0" applyFont="1" applyFill="1" applyBorder="1" applyAlignment="1">
      <alignment horizontal="center" vertical="center"/>
    </xf>
    <xf numFmtId="0" fontId="8" fillId="5" borderId="2" xfId="0" applyFont="1" applyFill="1" applyBorder="1" applyAlignment="1">
      <alignment horizontal="left" vertical="center" wrapText="1"/>
    </xf>
    <xf numFmtId="0" fontId="9" fillId="5" borderId="2" xfId="0" applyFont="1" applyFill="1" applyBorder="1" applyAlignment="1">
      <alignment horizontal="center" vertical="center" wrapText="1"/>
    </xf>
    <xf numFmtId="0" fontId="10" fillId="5" borderId="2"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6" fillId="5" borderId="2" xfId="0" applyFont="1" applyFill="1" applyBorder="1" applyAlignment="1">
      <alignment horizontal="center" vertical="center"/>
    </xf>
    <xf numFmtId="0" fontId="8" fillId="12" borderId="2" xfId="0" applyFont="1" applyFill="1" applyBorder="1" applyAlignment="1">
      <alignment horizontal="left" vertical="center" wrapText="1"/>
    </xf>
    <xf numFmtId="0" fontId="12" fillId="12" borderId="2" xfId="0" applyFont="1" applyFill="1" applyBorder="1" applyAlignment="1">
      <alignment horizontal="center" vertical="center" wrapText="1"/>
    </xf>
    <xf numFmtId="0" fontId="10" fillId="12" borderId="2" xfId="0" applyFont="1" applyFill="1" applyBorder="1" applyAlignment="1">
      <alignment horizontal="left" vertical="center" wrapText="1"/>
    </xf>
    <xf numFmtId="0" fontId="11" fillId="12" borderId="2" xfId="0" applyFont="1" applyFill="1" applyBorder="1" applyAlignment="1">
      <alignment horizontal="left" vertical="center" wrapText="1"/>
    </xf>
    <xf numFmtId="0" fontId="6" fillId="12" borderId="2" xfId="0" applyFont="1" applyFill="1" applyBorder="1" applyAlignment="1">
      <alignment horizontal="center" vertical="center"/>
    </xf>
    <xf numFmtId="0" fontId="6" fillId="13" borderId="2" xfId="0" applyFont="1" applyFill="1" applyBorder="1" applyAlignment="1">
      <alignment horizontal="center" vertical="center" wrapText="1"/>
    </xf>
    <xf numFmtId="164" fontId="13" fillId="7" borderId="2" xfId="0" applyNumberFormat="1" applyFont="1" applyFill="1" applyBorder="1" applyAlignment="1">
      <alignment horizontal="center" vertical="center" wrapText="1"/>
    </xf>
    <xf numFmtId="164" fontId="14" fillId="6" borderId="2" xfId="0" applyNumberFormat="1" applyFont="1" applyFill="1" applyBorder="1" applyAlignment="1">
      <alignment horizontal="center" vertical="center" wrapText="1"/>
    </xf>
    <xf numFmtId="164" fontId="14" fillId="4" borderId="2" xfId="0" applyNumberFormat="1" applyFont="1" applyFill="1" applyBorder="1" applyAlignment="1">
      <alignment horizontal="center" vertical="center" wrapText="1"/>
    </xf>
    <xf numFmtId="164" fontId="14" fillId="8" borderId="2" xfId="0" applyNumberFormat="1" applyFont="1" applyFill="1" applyBorder="1" applyAlignment="1">
      <alignment horizontal="center" vertical="center" wrapText="1"/>
    </xf>
    <xf numFmtId="0" fontId="0" fillId="5" borderId="0" xfId="0" applyFill="1"/>
    <xf numFmtId="0" fontId="15" fillId="5" borderId="0" xfId="0" applyFont="1" applyFill="1" applyAlignment="1">
      <alignment horizontal="center" vertical="center" wrapText="1"/>
    </xf>
    <xf numFmtId="0" fontId="17" fillId="13" borderId="1" xfId="0" applyFont="1" applyFill="1" applyBorder="1" applyAlignment="1">
      <alignment horizontal="center" vertical="center" wrapText="1"/>
    </xf>
  </cellXfs>
  <cellStyles count="1">
    <cellStyle name="Normal" xfId="0" builtinId="0"/>
  </cellStyles>
  <dxfs count="15">
    <dxf>
      <font>
        <b/>
        <sz val="9"/>
        <color rgb="FFFFFFFF"/>
        <name val="Arial"/>
        <charset val="1"/>
      </font>
      <fill>
        <patternFill>
          <bgColor rgb="FF7030A0"/>
        </patternFill>
      </fill>
    </dxf>
    <dxf>
      <font>
        <b/>
        <sz val="9"/>
        <color rgb="FFFFFFFF"/>
        <name val="Arial"/>
        <charset val="1"/>
      </font>
      <fill>
        <patternFill>
          <bgColor rgb="FF70AD47"/>
        </patternFill>
      </fill>
    </dxf>
    <dxf>
      <font>
        <b/>
        <sz val="9"/>
        <color rgb="FF000000"/>
        <name val="Arial"/>
        <charset val="1"/>
      </font>
      <fill>
        <patternFill>
          <bgColor rgb="FFFFD966"/>
        </patternFill>
      </fill>
    </dxf>
    <dxf>
      <font>
        <b/>
        <sz val="9"/>
        <color rgb="FFFFFFFF"/>
        <name val="Arial"/>
        <charset val="1"/>
      </font>
      <fill>
        <patternFill>
          <bgColor rgb="FFED7D31"/>
        </patternFill>
      </fill>
    </dxf>
    <dxf>
      <font>
        <b/>
        <sz val="9"/>
        <color rgb="FFFFFFFF"/>
        <name val="Arial"/>
        <charset val="1"/>
      </font>
      <fill>
        <patternFill>
          <bgColor rgb="FFC00000"/>
        </patternFill>
      </fill>
    </dxf>
    <dxf>
      <fill>
        <patternFill>
          <bgColor rgb="FFEAD9F7"/>
        </patternFill>
      </fill>
    </dxf>
    <dxf>
      <fill>
        <patternFill>
          <bgColor rgb="FFE2EFDA"/>
        </patternFill>
      </fill>
    </dxf>
    <dxf>
      <fill>
        <patternFill>
          <bgColor rgb="FFFFF2CC"/>
        </patternFill>
      </fill>
    </dxf>
    <dxf>
      <fill>
        <patternFill>
          <bgColor rgb="FFFCE4D6"/>
        </patternFill>
      </fill>
    </dxf>
    <dxf>
      <fill>
        <patternFill>
          <bgColor rgb="FFFFCCCC"/>
        </patternFill>
      </fill>
    </dxf>
    <dxf>
      <fill>
        <patternFill>
          <bgColor rgb="FFEAD9F7"/>
        </patternFill>
      </fill>
    </dxf>
    <dxf>
      <fill>
        <patternFill>
          <bgColor rgb="FFE2EFDA"/>
        </patternFill>
      </fill>
    </dxf>
    <dxf>
      <fill>
        <patternFill>
          <bgColor rgb="FFFFF2CC"/>
        </patternFill>
      </fill>
    </dxf>
    <dxf>
      <fill>
        <patternFill>
          <bgColor rgb="FFFCE4D6"/>
        </patternFill>
      </fill>
    </dxf>
    <dxf>
      <fill>
        <patternFill>
          <bgColor rgb="FFFFCCCC"/>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2CC"/>
      <rgbColor rgb="FFF2F2F2"/>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F5EFFE"/>
      <rgbColor rgb="FFE2EFDA"/>
      <rgbColor rgb="FFFCE4D6"/>
      <rgbColor rgb="FFEAD9F7"/>
      <rgbColor rgb="FFFF99CC"/>
      <rgbColor rgb="FFCC99FF"/>
      <rgbColor rgb="FFFFCCCC"/>
      <rgbColor rgb="FF2E75B6"/>
      <rgbColor rgb="FF33CCCC"/>
      <rgbColor rgb="FF92D050"/>
      <rgbColor rgb="FFFFD966"/>
      <rgbColor rgb="FFFF9900"/>
      <rgbColor rgb="FFED7D31"/>
      <rgbColor rgb="FF666699"/>
      <rgbColor rgb="FF70AD47"/>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5"/>
  <sheetViews>
    <sheetView showGridLines="0" zoomScale="90" zoomScaleNormal="90" workbookViewId="0">
      <selection activeCell="E8" sqref="E8"/>
    </sheetView>
  </sheetViews>
  <sheetFormatPr baseColWidth="10" defaultColWidth="8.6640625" defaultRowHeight="14.4" x14ac:dyDescent="0.3"/>
  <cols>
    <col min="1" max="1" width="18" customWidth="1"/>
    <col min="2" max="2" width="62" customWidth="1"/>
    <col min="3" max="3" width="14" customWidth="1"/>
    <col min="4" max="4" width="6" customWidth="1"/>
    <col min="5" max="5" width="10" customWidth="1"/>
  </cols>
  <sheetData>
    <row r="1" spans="1:5" ht="31.5" customHeight="1" x14ac:dyDescent="0.3">
      <c r="A1" s="14" t="s">
        <v>0</v>
      </c>
      <c r="B1" s="14"/>
      <c r="C1" s="14"/>
      <c r="D1" s="14"/>
      <c r="E1" s="14"/>
    </row>
    <row r="2" spans="1:5" ht="18" customHeight="1" x14ac:dyDescent="0.3">
      <c r="A2" s="13" t="s">
        <v>163</v>
      </c>
      <c r="B2" s="13"/>
      <c r="C2" s="13"/>
      <c r="D2" s="13"/>
      <c r="E2" s="13"/>
    </row>
    <row r="3" spans="1:5" ht="7.5" customHeight="1" x14ac:dyDescent="0.3"/>
    <row r="4" spans="1:5" ht="21.75" customHeight="1" x14ac:dyDescent="0.3">
      <c r="A4" s="12" t="s">
        <v>1</v>
      </c>
      <c r="B4" s="12"/>
      <c r="C4" s="12"/>
      <c r="D4" s="12"/>
      <c r="E4" s="12"/>
    </row>
    <row r="5" spans="1:5" ht="18" customHeight="1" x14ac:dyDescent="0.3">
      <c r="A5" s="15" t="s">
        <v>2</v>
      </c>
      <c r="B5" s="15" t="s">
        <v>3</v>
      </c>
      <c r="C5" s="15"/>
      <c r="D5" s="15"/>
      <c r="E5" s="15" t="s">
        <v>4</v>
      </c>
    </row>
    <row r="6" spans="1:5" ht="27.75" customHeight="1" x14ac:dyDescent="0.3">
      <c r="A6" s="16" t="s">
        <v>5</v>
      </c>
      <c r="B6" s="11" t="s">
        <v>6</v>
      </c>
      <c r="C6" s="11"/>
      <c r="D6" s="11"/>
      <c r="E6" s="16">
        <v>5</v>
      </c>
    </row>
    <row r="7" spans="1:5" ht="27.75" customHeight="1" x14ac:dyDescent="0.3">
      <c r="A7" s="17" t="s">
        <v>7</v>
      </c>
      <c r="B7" s="11" t="s">
        <v>8</v>
      </c>
      <c r="C7" s="11"/>
      <c r="D7" s="11"/>
      <c r="E7" s="17">
        <v>4</v>
      </c>
    </row>
    <row r="8" spans="1:5" ht="27.75" customHeight="1" x14ac:dyDescent="0.3">
      <c r="A8" s="18" t="s">
        <v>9</v>
      </c>
      <c r="B8" s="11" t="s">
        <v>10</v>
      </c>
      <c r="C8" s="11"/>
      <c r="D8" s="11"/>
      <c r="E8" s="18">
        <v>3</v>
      </c>
    </row>
    <row r="9" spans="1:5" ht="27.75" customHeight="1" x14ac:dyDescent="0.3">
      <c r="A9" s="19" t="s">
        <v>11</v>
      </c>
      <c r="B9" s="11" t="s">
        <v>12</v>
      </c>
      <c r="C9" s="11"/>
      <c r="D9" s="11"/>
      <c r="E9" s="19">
        <v>2</v>
      </c>
    </row>
    <row r="10" spans="1:5" ht="27.75" customHeight="1" x14ac:dyDescent="0.3">
      <c r="A10" s="20" t="s">
        <v>13</v>
      </c>
      <c r="B10" s="11" t="s">
        <v>14</v>
      </c>
      <c r="C10" s="11"/>
      <c r="D10" s="11"/>
      <c r="E10" s="20">
        <v>1</v>
      </c>
    </row>
    <row r="11" spans="1:5" ht="7.5" customHeight="1" x14ac:dyDescent="0.3"/>
    <row r="12" spans="1:5" ht="21.75" customHeight="1" x14ac:dyDescent="0.3">
      <c r="A12" s="12" t="s">
        <v>15</v>
      </c>
      <c r="B12" s="12"/>
      <c r="C12" s="12"/>
      <c r="D12" s="12"/>
      <c r="E12" s="12"/>
    </row>
    <row r="13" spans="1:5" ht="18" customHeight="1" x14ac:dyDescent="0.3">
      <c r="A13" s="15" t="s">
        <v>2</v>
      </c>
      <c r="B13" s="15" t="s">
        <v>3</v>
      </c>
      <c r="C13" s="15"/>
      <c r="D13" s="15"/>
      <c r="E13" s="15" t="s">
        <v>4</v>
      </c>
    </row>
    <row r="14" spans="1:5" ht="27.75" customHeight="1" x14ac:dyDescent="0.3">
      <c r="A14" s="16" t="s">
        <v>16</v>
      </c>
      <c r="B14" s="11" t="s">
        <v>17</v>
      </c>
      <c r="C14" s="11"/>
      <c r="D14" s="11"/>
      <c r="E14" s="16">
        <v>5</v>
      </c>
    </row>
    <row r="15" spans="1:5" ht="27.75" customHeight="1" x14ac:dyDescent="0.3">
      <c r="A15" s="17" t="s">
        <v>18</v>
      </c>
      <c r="B15" s="11" t="s">
        <v>19</v>
      </c>
      <c r="C15" s="11"/>
      <c r="D15" s="11"/>
      <c r="E15" s="17">
        <v>4</v>
      </c>
    </row>
    <row r="16" spans="1:5" ht="27.75" customHeight="1" x14ac:dyDescent="0.3">
      <c r="A16" s="18" t="s">
        <v>20</v>
      </c>
      <c r="B16" s="11" t="s">
        <v>21</v>
      </c>
      <c r="C16" s="11"/>
      <c r="D16" s="11"/>
      <c r="E16" s="18">
        <v>3</v>
      </c>
    </row>
    <row r="17" spans="1:5" ht="27.75" customHeight="1" x14ac:dyDescent="0.3">
      <c r="A17" s="19" t="s">
        <v>22</v>
      </c>
      <c r="B17" s="11" t="s">
        <v>23</v>
      </c>
      <c r="C17" s="11"/>
      <c r="D17" s="11"/>
      <c r="E17" s="19">
        <v>2</v>
      </c>
    </row>
    <row r="18" spans="1:5" ht="27.75" customHeight="1" x14ac:dyDescent="0.3">
      <c r="A18" s="20" t="s">
        <v>24</v>
      </c>
      <c r="B18" s="11" t="s">
        <v>25</v>
      </c>
      <c r="C18" s="11"/>
      <c r="D18" s="11"/>
      <c r="E18" s="20">
        <v>1</v>
      </c>
    </row>
    <row r="19" spans="1:5" ht="7.5" customHeight="1" x14ac:dyDescent="0.3"/>
    <row r="20" spans="1:5" ht="21.75" customHeight="1" x14ac:dyDescent="0.3">
      <c r="A20" s="12" t="s">
        <v>26</v>
      </c>
      <c r="B20" s="12"/>
      <c r="C20" s="12"/>
      <c r="D20" s="12"/>
      <c r="E20" s="12"/>
    </row>
    <row r="21" spans="1:5" ht="18" customHeight="1" x14ac:dyDescent="0.3">
      <c r="A21" s="15" t="s">
        <v>27</v>
      </c>
      <c r="B21" s="15" t="s">
        <v>28</v>
      </c>
      <c r="C21" s="15" t="s">
        <v>29</v>
      </c>
    </row>
    <row r="22" spans="1:5" ht="18" customHeight="1" x14ac:dyDescent="0.3">
      <c r="A22" s="21" t="s">
        <v>30</v>
      </c>
      <c r="B22" s="18" t="s">
        <v>31</v>
      </c>
      <c r="C22" s="18">
        <v>5</v>
      </c>
    </row>
    <row r="23" spans="1:5" ht="18" customHeight="1" x14ac:dyDescent="0.3">
      <c r="A23" s="21" t="s">
        <v>32</v>
      </c>
      <c r="B23" s="17" t="s">
        <v>33</v>
      </c>
      <c r="C23" s="17">
        <v>10</v>
      </c>
    </row>
    <row r="24" spans="1:5" ht="18" customHeight="1" x14ac:dyDescent="0.3">
      <c r="A24" s="21" t="s">
        <v>34</v>
      </c>
      <c r="B24" s="16" t="s">
        <v>35</v>
      </c>
      <c r="C24" s="16">
        <v>15</v>
      </c>
    </row>
    <row r="25" spans="1:5" ht="18" customHeight="1" x14ac:dyDescent="0.3">
      <c r="A25" s="21" t="s">
        <v>36</v>
      </c>
      <c r="B25" s="16" t="s">
        <v>35</v>
      </c>
      <c r="C25" s="16">
        <v>20</v>
      </c>
    </row>
    <row r="26" spans="1:5" ht="18" customHeight="1" x14ac:dyDescent="0.3">
      <c r="A26" s="21" t="s">
        <v>37</v>
      </c>
      <c r="B26" s="16" t="s">
        <v>35</v>
      </c>
      <c r="C26" s="16">
        <v>25</v>
      </c>
    </row>
    <row r="27" spans="1:5" ht="18" customHeight="1" x14ac:dyDescent="0.3">
      <c r="A27" s="21" t="s">
        <v>38</v>
      </c>
      <c r="B27" s="18" t="s">
        <v>31</v>
      </c>
      <c r="C27" s="18">
        <v>4</v>
      </c>
    </row>
    <row r="28" spans="1:5" ht="18" customHeight="1" x14ac:dyDescent="0.3">
      <c r="A28" s="21" t="s">
        <v>39</v>
      </c>
      <c r="B28" s="17" t="s">
        <v>33</v>
      </c>
      <c r="C28" s="17">
        <v>8</v>
      </c>
    </row>
    <row r="29" spans="1:5" ht="18" customHeight="1" x14ac:dyDescent="0.3">
      <c r="A29" s="21" t="s">
        <v>40</v>
      </c>
      <c r="B29" s="17" t="s">
        <v>33</v>
      </c>
      <c r="C29" s="17">
        <v>12</v>
      </c>
    </row>
    <row r="30" spans="1:5" ht="18" customHeight="1" x14ac:dyDescent="0.3">
      <c r="A30" s="21" t="s">
        <v>41</v>
      </c>
      <c r="B30" s="16" t="s">
        <v>35</v>
      </c>
      <c r="C30" s="16">
        <v>16</v>
      </c>
    </row>
    <row r="31" spans="1:5" ht="18" customHeight="1" x14ac:dyDescent="0.3">
      <c r="A31" s="21" t="s">
        <v>42</v>
      </c>
      <c r="B31" s="16" t="s">
        <v>35</v>
      </c>
      <c r="C31" s="16">
        <v>20</v>
      </c>
    </row>
    <row r="32" spans="1:5" ht="18" customHeight="1" x14ac:dyDescent="0.3">
      <c r="A32" s="21" t="s">
        <v>43</v>
      </c>
      <c r="B32" s="19" t="s">
        <v>44</v>
      </c>
      <c r="C32" s="19">
        <v>3</v>
      </c>
    </row>
    <row r="33" spans="1:3" ht="18" customHeight="1" x14ac:dyDescent="0.3">
      <c r="A33" s="21" t="s">
        <v>45</v>
      </c>
      <c r="B33" s="18" t="s">
        <v>31</v>
      </c>
      <c r="C33" s="18">
        <v>6</v>
      </c>
    </row>
    <row r="34" spans="1:3" ht="18" customHeight="1" x14ac:dyDescent="0.3">
      <c r="A34" s="21" t="s">
        <v>46</v>
      </c>
      <c r="B34" s="17" t="s">
        <v>33</v>
      </c>
      <c r="C34" s="17">
        <v>9</v>
      </c>
    </row>
    <row r="35" spans="1:3" ht="18" customHeight="1" x14ac:dyDescent="0.3">
      <c r="A35" s="21" t="s">
        <v>47</v>
      </c>
      <c r="B35" s="17" t="s">
        <v>33</v>
      </c>
      <c r="C35" s="17">
        <v>12</v>
      </c>
    </row>
    <row r="36" spans="1:3" ht="18" customHeight="1" x14ac:dyDescent="0.3">
      <c r="A36" s="21" t="s">
        <v>48</v>
      </c>
      <c r="B36" s="16" t="s">
        <v>35</v>
      </c>
      <c r="C36" s="16">
        <v>15</v>
      </c>
    </row>
    <row r="37" spans="1:3" ht="18" customHeight="1" x14ac:dyDescent="0.3">
      <c r="A37" s="21" t="s">
        <v>49</v>
      </c>
      <c r="B37" s="19" t="s">
        <v>44</v>
      </c>
      <c r="C37" s="19">
        <v>2</v>
      </c>
    </row>
    <row r="38" spans="1:3" ht="18" customHeight="1" x14ac:dyDescent="0.3">
      <c r="A38" s="21" t="s">
        <v>50</v>
      </c>
      <c r="B38" s="18" t="s">
        <v>31</v>
      </c>
      <c r="C38" s="18">
        <v>4</v>
      </c>
    </row>
    <row r="39" spans="1:3" ht="18" customHeight="1" x14ac:dyDescent="0.3">
      <c r="A39" s="21" t="s">
        <v>51</v>
      </c>
      <c r="B39" s="18" t="s">
        <v>31</v>
      </c>
      <c r="C39" s="18">
        <v>6</v>
      </c>
    </row>
    <row r="40" spans="1:3" ht="18" customHeight="1" x14ac:dyDescent="0.3">
      <c r="A40" s="21" t="s">
        <v>52</v>
      </c>
      <c r="B40" s="17" t="s">
        <v>33</v>
      </c>
      <c r="C40" s="17">
        <v>8</v>
      </c>
    </row>
    <row r="41" spans="1:3" ht="18" customHeight="1" x14ac:dyDescent="0.3">
      <c r="A41" s="21" t="s">
        <v>53</v>
      </c>
      <c r="B41" s="17" t="s">
        <v>33</v>
      </c>
      <c r="C41" s="17">
        <v>10</v>
      </c>
    </row>
    <row r="42" spans="1:3" ht="18" customHeight="1" x14ac:dyDescent="0.3">
      <c r="A42" s="21" t="s">
        <v>54</v>
      </c>
      <c r="B42" s="19" t="s">
        <v>44</v>
      </c>
      <c r="C42" s="19">
        <v>1</v>
      </c>
    </row>
    <row r="43" spans="1:3" ht="18" customHeight="1" x14ac:dyDescent="0.3">
      <c r="A43" s="21" t="s">
        <v>55</v>
      </c>
      <c r="B43" s="19" t="s">
        <v>44</v>
      </c>
      <c r="C43" s="19">
        <v>2</v>
      </c>
    </row>
    <row r="44" spans="1:3" ht="18" customHeight="1" x14ac:dyDescent="0.3">
      <c r="A44" s="21" t="s">
        <v>56</v>
      </c>
      <c r="B44" s="19" t="s">
        <v>44</v>
      </c>
      <c r="C44" s="19">
        <v>3</v>
      </c>
    </row>
    <row r="45" spans="1:3" ht="18" customHeight="1" x14ac:dyDescent="0.3">
      <c r="A45" s="21" t="s">
        <v>57</v>
      </c>
      <c r="B45" s="18" t="s">
        <v>31</v>
      </c>
      <c r="C45" s="18">
        <v>4</v>
      </c>
    </row>
    <row r="46" spans="1:3" ht="18" customHeight="1" x14ac:dyDescent="0.3">
      <c r="A46" s="21" t="s">
        <v>58</v>
      </c>
      <c r="B46" s="18" t="s">
        <v>31</v>
      </c>
      <c r="C46" s="18">
        <v>5</v>
      </c>
    </row>
    <row r="47" spans="1:3" ht="18" customHeight="1" x14ac:dyDescent="0.3">
      <c r="A47" s="21" t="s">
        <v>59</v>
      </c>
      <c r="B47" s="22" t="s">
        <v>60</v>
      </c>
      <c r="C47" s="22" t="s">
        <v>61</v>
      </c>
    </row>
    <row r="48" spans="1:3" ht="7.5" customHeight="1" x14ac:dyDescent="0.3"/>
    <row r="49" spans="1:5" ht="21.75" customHeight="1" x14ac:dyDescent="0.3">
      <c r="A49" s="12" t="s">
        <v>62</v>
      </c>
      <c r="B49" s="12"/>
      <c r="C49" s="12"/>
      <c r="D49" s="12"/>
      <c r="E49" s="12"/>
    </row>
    <row r="50" spans="1:5" ht="18" customHeight="1" x14ac:dyDescent="0.3">
      <c r="A50" s="15" t="s">
        <v>63</v>
      </c>
      <c r="B50" s="15" t="s">
        <v>64</v>
      </c>
      <c r="C50" s="15"/>
      <c r="D50" s="15"/>
      <c r="E50" s="15" t="s">
        <v>65</v>
      </c>
    </row>
    <row r="51" spans="1:5" ht="27.75" customHeight="1" x14ac:dyDescent="0.3">
      <c r="A51" s="19" t="s">
        <v>44</v>
      </c>
      <c r="B51" s="10" t="s">
        <v>66</v>
      </c>
      <c r="C51" s="10"/>
      <c r="D51" s="10"/>
      <c r="E51" s="19" t="s">
        <v>67</v>
      </c>
    </row>
    <row r="52" spans="1:5" ht="27.75" customHeight="1" x14ac:dyDescent="0.3">
      <c r="A52" s="18" t="s">
        <v>31</v>
      </c>
      <c r="B52" s="10" t="s">
        <v>68</v>
      </c>
      <c r="C52" s="10"/>
      <c r="D52" s="10"/>
      <c r="E52" s="18" t="s">
        <v>69</v>
      </c>
    </row>
    <row r="53" spans="1:5" ht="27.75" customHeight="1" x14ac:dyDescent="0.3">
      <c r="A53" s="17" t="s">
        <v>33</v>
      </c>
      <c r="B53" s="10" t="s">
        <v>70</v>
      </c>
      <c r="C53" s="10"/>
      <c r="D53" s="10"/>
      <c r="E53" s="17" t="s">
        <v>71</v>
      </c>
    </row>
    <row r="54" spans="1:5" ht="27.75" customHeight="1" x14ac:dyDescent="0.3">
      <c r="A54" s="16" t="s">
        <v>35</v>
      </c>
      <c r="B54" s="10" t="s">
        <v>72</v>
      </c>
      <c r="C54" s="10"/>
      <c r="D54" s="10"/>
      <c r="E54" s="16" t="s">
        <v>73</v>
      </c>
    </row>
    <row r="55" spans="1:5" ht="27.75" customHeight="1" x14ac:dyDescent="0.3">
      <c r="A55" s="22" t="s">
        <v>60</v>
      </c>
      <c r="B55" s="10" t="s">
        <v>74</v>
      </c>
      <c r="C55" s="10"/>
      <c r="D55" s="10"/>
      <c r="E55" s="22" t="s">
        <v>61</v>
      </c>
    </row>
  </sheetData>
  <mergeCells count="21">
    <mergeCell ref="B55:D55"/>
    <mergeCell ref="A49:E49"/>
    <mergeCell ref="B51:D51"/>
    <mergeCell ref="B52:D52"/>
    <mergeCell ref="B53:D53"/>
    <mergeCell ref="B54:D54"/>
    <mergeCell ref="B15:D15"/>
    <mergeCell ref="B16:D16"/>
    <mergeCell ref="B17:D17"/>
    <mergeCell ref="B18:D18"/>
    <mergeCell ref="A20:E20"/>
    <mergeCell ref="B8:D8"/>
    <mergeCell ref="B9:D9"/>
    <mergeCell ref="B10:D10"/>
    <mergeCell ref="A12:E12"/>
    <mergeCell ref="B14:D14"/>
    <mergeCell ref="A1:E1"/>
    <mergeCell ref="A2:E2"/>
    <mergeCell ref="A4:E4"/>
    <mergeCell ref="B6:D6"/>
    <mergeCell ref="B7:D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0"/>
  <sheetViews>
    <sheetView showGridLines="0" zoomScale="85" zoomScaleNormal="85" workbookViewId="0">
      <pane ySplit="3" topLeftCell="A4" activePane="bottomLeft" state="frozen"/>
      <selection pane="bottomLeft" activeCell="J12" sqref="J12"/>
    </sheetView>
  </sheetViews>
  <sheetFormatPr baseColWidth="10" defaultColWidth="8.6640625" defaultRowHeight="14.4" x14ac:dyDescent="0.3"/>
  <cols>
    <col min="1" max="1" width="52" customWidth="1"/>
    <col min="2" max="2" width="22" customWidth="1"/>
    <col min="3" max="4" width="30" customWidth="1"/>
    <col min="5" max="5" width="14" customWidth="1"/>
    <col min="6" max="6" width="8" customWidth="1"/>
    <col min="7" max="7" width="14" customWidth="1"/>
    <col min="8" max="8" width="8" customWidth="1"/>
    <col min="9" max="9" width="10" customWidth="1"/>
    <col min="10" max="10" width="16" customWidth="1"/>
  </cols>
  <sheetData>
    <row r="1" spans="1:10" ht="31.5" customHeight="1" x14ac:dyDescent="0.3">
      <c r="A1" s="14" t="s">
        <v>75</v>
      </c>
      <c r="B1" s="14"/>
      <c r="C1" s="14"/>
      <c r="D1" s="14"/>
      <c r="E1" s="14"/>
      <c r="F1" s="14"/>
      <c r="G1" s="14"/>
      <c r="H1" s="14"/>
      <c r="I1" s="14"/>
      <c r="J1" s="14"/>
    </row>
    <row r="2" spans="1:10" ht="18" customHeight="1" x14ac:dyDescent="0.3">
      <c r="A2" s="13" t="s">
        <v>162</v>
      </c>
      <c r="B2" s="13"/>
      <c r="C2" s="13"/>
      <c r="D2" s="13"/>
      <c r="E2" s="13"/>
      <c r="F2" s="13"/>
      <c r="G2" s="13"/>
      <c r="H2" s="13"/>
      <c r="I2" s="13"/>
      <c r="J2" s="13"/>
    </row>
    <row r="3" spans="1:10" ht="39.75" customHeight="1" x14ac:dyDescent="0.3">
      <c r="A3" s="23" t="s">
        <v>76</v>
      </c>
      <c r="B3" s="23" t="s">
        <v>77</v>
      </c>
      <c r="C3" s="23" t="s">
        <v>78</v>
      </c>
      <c r="D3" s="23" t="s">
        <v>79</v>
      </c>
      <c r="E3" s="23" t="s">
        <v>80</v>
      </c>
      <c r="F3" s="23" t="s">
        <v>81</v>
      </c>
      <c r="G3" s="23" t="s">
        <v>82</v>
      </c>
      <c r="H3" s="23" t="s">
        <v>83</v>
      </c>
      <c r="I3" s="23" t="s">
        <v>84</v>
      </c>
      <c r="J3" s="23" t="s">
        <v>28</v>
      </c>
    </row>
    <row r="4" spans="1:10" ht="72" customHeight="1" x14ac:dyDescent="0.3">
      <c r="A4" s="24" t="s">
        <v>85</v>
      </c>
      <c r="B4" s="25" t="s">
        <v>86</v>
      </c>
      <c r="C4" s="26" t="s">
        <v>87</v>
      </c>
      <c r="D4" s="27" t="s">
        <v>88</v>
      </c>
      <c r="E4" s="28" t="s">
        <v>7</v>
      </c>
      <c r="F4" s="28">
        <f>IFERROR(VLOOKUP(E4,Variables!$A$6:$E$10,5,0),"")</f>
        <v>4</v>
      </c>
      <c r="G4" s="28" t="s">
        <v>18</v>
      </c>
      <c r="H4" s="28">
        <f>IFERROR(VLOOKUP(G4,Variables!$A$14:$E$18,5,0),"")</f>
        <v>4</v>
      </c>
      <c r="I4" s="28" t="str">
        <f t="shared" ref="I4:I50" si="0">IF(B4="Oportunidad de Mejora","OM",IFERROR(CONCATENATE(F4,":",H4),""))</f>
        <v>4:4</v>
      </c>
      <c r="J4" s="28" t="str">
        <f>IFERROR(VLOOKUP(I4,Variables!$A$22:$B$47,2,FALSE()),"Por definir")</f>
        <v>CRÍTICO</v>
      </c>
    </row>
    <row r="5" spans="1:10" ht="72" customHeight="1" x14ac:dyDescent="0.3">
      <c r="A5" s="29" t="s">
        <v>89</v>
      </c>
      <c r="B5" s="30" t="s">
        <v>86</v>
      </c>
      <c r="C5" s="31" t="s">
        <v>90</v>
      </c>
      <c r="D5" s="32" t="s">
        <v>91</v>
      </c>
      <c r="E5" s="33" t="s">
        <v>7</v>
      </c>
      <c r="F5" s="33">
        <f>IFERROR(VLOOKUP(E5,Variables!$A$6:$E$10,5,0),"")</f>
        <v>4</v>
      </c>
      <c r="G5" s="33" t="s">
        <v>18</v>
      </c>
      <c r="H5" s="33">
        <f>IFERROR(VLOOKUP(G5,Variables!$A$14:$E$18,5,0),"")</f>
        <v>4</v>
      </c>
      <c r="I5" s="33" t="str">
        <f t="shared" si="0"/>
        <v>4:4</v>
      </c>
      <c r="J5" s="33" t="str">
        <f>IFERROR(VLOOKUP(I5,Variables!$A$22:$B$47,2,FALSE()),"Por definir")</f>
        <v>CRÍTICO</v>
      </c>
    </row>
    <row r="6" spans="1:10" ht="72" customHeight="1" x14ac:dyDescent="0.3">
      <c r="A6" s="24" t="s">
        <v>92</v>
      </c>
      <c r="B6" s="25" t="s">
        <v>86</v>
      </c>
      <c r="C6" s="26" t="s">
        <v>93</v>
      </c>
      <c r="D6" s="27" t="s">
        <v>94</v>
      </c>
      <c r="E6" s="28" t="s">
        <v>9</v>
      </c>
      <c r="F6" s="28">
        <f>IFERROR(VLOOKUP(E6,Variables!$A$6:$E$10,5,0),"")</f>
        <v>3</v>
      </c>
      <c r="G6" s="28" t="s">
        <v>18</v>
      </c>
      <c r="H6" s="28">
        <f>IFERROR(VLOOKUP(G6,Variables!$A$14:$E$18,5,0),"")</f>
        <v>4</v>
      </c>
      <c r="I6" s="28" t="str">
        <f t="shared" si="0"/>
        <v>3:4</v>
      </c>
      <c r="J6" s="28" t="str">
        <f>IFERROR(VLOOKUP(I6,Variables!$A$22:$B$47,2,FALSE()),"Por definir")</f>
        <v>MEDIO-ALTO</v>
      </c>
    </row>
    <row r="7" spans="1:10" ht="72" customHeight="1" x14ac:dyDescent="0.3">
      <c r="A7" s="29" t="s">
        <v>95</v>
      </c>
      <c r="B7" s="30" t="s">
        <v>86</v>
      </c>
      <c r="C7" s="31" t="s">
        <v>96</v>
      </c>
      <c r="D7" s="32" t="s">
        <v>97</v>
      </c>
      <c r="E7" s="33" t="s">
        <v>9</v>
      </c>
      <c r="F7" s="33">
        <f>IFERROR(VLOOKUP(E7,Variables!$A$6:$E$10,5,0),"")</f>
        <v>3</v>
      </c>
      <c r="G7" s="33" t="s">
        <v>18</v>
      </c>
      <c r="H7" s="33">
        <f>IFERROR(VLOOKUP(G7,Variables!$A$14:$E$18,5,0),"")</f>
        <v>4</v>
      </c>
      <c r="I7" s="33" t="str">
        <f t="shared" si="0"/>
        <v>3:4</v>
      </c>
      <c r="J7" s="33" t="str">
        <f>IFERROR(VLOOKUP(I7,Variables!$A$22:$B$47,2,FALSE()),"Por definir")</f>
        <v>MEDIO-ALTO</v>
      </c>
    </row>
    <row r="8" spans="1:10" ht="72" customHeight="1" x14ac:dyDescent="0.3">
      <c r="A8" s="24" t="s">
        <v>98</v>
      </c>
      <c r="B8" s="25" t="s">
        <v>86</v>
      </c>
      <c r="C8" s="26" t="s">
        <v>99</v>
      </c>
      <c r="D8" s="27" t="s">
        <v>100</v>
      </c>
      <c r="E8" s="28" t="s">
        <v>7</v>
      </c>
      <c r="F8" s="28">
        <f>IFERROR(VLOOKUP(E8,Variables!$A$6:$E$10,5,0),"")</f>
        <v>4</v>
      </c>
      <c r="G8" s="28" t="s">
        <v>20</v>
      </c>
      <c r="H8" s="28">
        <f>IFERROR(VLOOKUP(G8,Variables!$A$14:$E$18,5,0),"")</f>
        <v>3</v>
      </c>
      <c r="I8" s="28" t="str">
        <f t="shared" si="0"/>
        <v>4:3</v>
      </c>
      <c r="J8" s="28" t="str">
        <f>IFERROR(VLOOKUP(I8,Variables!$A$22:$B$47,2,FALSE()),"Por definir")</f>
        <v>MEDIO-ALTO</v>
      </c>
    </row>
    <row r="9" spans="1:10" ht="72" customHeight="1" x14ac:dyDescent="0.3">
      <c r="A9" s="29" t="s">
        <v>101</v>
      </c>
      <c r="B9" s="30" t="s">
        <v>86</v>
      </c>
      <c r="C9" s="31" t="s">
        <v>102</v>
      </c>
      <c r="D9" s="32" t="s">
        <v>103</v>
      </c>
      <c r="E9" s="33" t="s">
        <v>7</v>
      </c>
      <c r="F9" s="33">
        <f>IFERROR(VLOOKUP(E9,Variables!$A$6:$E$10,5,0),"")</f>
        <v>4</v>
      </c>
      <c r="G9" s="33" t="s">
        <v>20</v>
      </c>
      <c r="H9" s="33">
        <f>IFERROR(VLOOKUP(G9,Variables!$A$14:$E$18,5,0),"")</f>
        <v>3</v>
      </c>
      <c r="I9" s="33" t="str">
        <f t="shared" si="0"/>
        <v>4:3</v>
      </c>
      <c r="J9" s="33" t="str">
        <f>IFERROR(VLOOKUP(I9,Variables!$A$22:$B$47,2,FALSE()),"Por definir")</f>
        <v>MEDIO-ALTO</v>
      </c>
    </row>
    <row r="10" spans="1:10" ht="72" customHeight="1" x14ac:dyDescent="0.3">
      <c r="A10" s="24" t="s">
        <v>104</v>
      </c>
      <c r="B10" s="25" t="s">
        <v>86</v>
      </c>
      <c r="C10" s="26" t="s">
        <v>105</v>
      </c>
      <c r="D10" s="27" t="s">
        <v>106</v>
      </c>
      <c r="E10" s="28" t="s">
        <v>7</v>
      </c>
      <c r="F10" s="28">
        <f>IFERROR(VLOOKUP(E10,Variables!$A$6:$E$10,5,0),"")</f>
        <v>4</v>
      </c>
      <c r="G10" s="28" t="s">
        <v>20</v>
      </c>
      <c r="H10" s="28">
        <f>IFERROR(VLOOKUP(G10,Variables!$A$14:$E$18,5,0),"")</f>
        <v>3</v>
      </c>
      <c r="I10" s="28" t="str">
        <f t="shared" si="0"/>
        <v>4:3</v>
      </c>
      <c r="J10" s="28" t="str">
        <f>IFERROR(VLOOKUP(I10,Variables!$A$22:$B$47,2,FALSE()),"Por definir")</f>
        <v>MEDIO-ALTO</v>
      </c>
    </row>
    <row r="11" spans="1:10" ht="72" customHeight="1" x14ac:dyDescent="0.3">
      <c r="A11" s="29" t="s">
        <v>107</v>
      </c>
      <c r="B11" s="30" t="s">
        <v>86</v>
      </c>
      <c r="C11" s="31" t="s">
        <v>96</v>
      </c>
      <c r="D11" s="32" t="s">
        <v>108</v>
      </c>
      <c r="E11" s="33" t="s">
        <v>9</v>
      </c>
      <c r="F11" s="33">
        <f>IFERROR(VLOOKUP(E11,Variables!$A$6:$E$10,5,0),"")</f>
        <v>3</v>
      </c>
      <c r="G11" s="33" t="s">
        <v>20</v>
      </c>
      <c r="H11" s="33">
        <f>IFERROR(VLOOKUP(G11,Variables!$A$14:$E$18,5,0),"")</f>
        <v>3</v>
      </c>
      <c r="I11" s="33" t="str">
        <f t="shared" si="0"/>
        <v>3:3</v>
      </c>
      <c r="J11" s="33" t="str">
        <f>IFERROR(VLOOKUP(I11,Variables!$A$22:$B$47,2,FALSE()),"Por definir")</f>
        <v>MEDIO-ALTO</v>
      </c>
    </row>
    <row r="12" spans="1:10" ht="72" customHeight="1" x14ac:dyDescent="0.3">
      <c r="A12" s="24" t="s">
        <v>109</v>
      </c>
      <c r="B12" s="25" t="s">
        <v>86</v>
      </c>
      <c r="C12" s="26" t="s">
        <v>87</v>
      </c>
      <c r="D12" s="27" t="s">
        <v>110</v>
      </c>
      <c r="E12" s="28" t="s">
        <v>11</v>
      </c>
      <c r="F12" s="28">
        <f>IFERROR(VLOOKUP(E12,Variables!$A$6:$E$10,5,0),"")</f>
        <v>2</v>
      </c>
      <c r="G12" s="28" t="s">
        <v>20</v>
      </c>
      <c r="H12" s="28">
        <f>IFERROR(VLOOKUP(G12,Variables!$A$14:$E$18,5,0),"")</f>
        <v>3</v>
      </c>
      <c r="I12" s="28" t="str">
        <f t="shared" si="0"/>
        <v>2:3</v>
      </c>
      <c r="J12" s="28" t="str">
        <f>IFERROR(VLOOKUP(I12,Variables!$A$22:$B$47,2,FALSE()),"Por definir")</f>
        <v>MEDIO</v>
      </c>
    </row>
    <row r="13" spans="1:10" ht="72" customHeight="1" x14ac:dyDescent="0.3">
      <c r="A13" s="29" t="s">
        <v>111</v>
      </c>
      <c r="B13" s="30" t="s">
        <v>86</v>
      </c>
      <c r="C13" s="31" t="s">
        <v>112</v>
      </c>
      <c r="D13" s="32" t="s">
        <v>113</v>
      </c>
      <c r="E13" s="33" t="s">
        <v>11</v>
      </c>
      <c r="F13" s="33">
        <f>IFERROR(VLOOKUP(E13,Variables!$A$6:$E$10,5,0),"")</f>
        <v>2</v>
      </c>
      <c r="G13" s="33" t="s">
        <v>22</v>
      </c>
      <c r="H13" s="33">
        <f>IFERROR(VLOOKUP(G13,Variables!$A$14:$E$18,5,0),"")</f>
        <v>2</v>
      </c>
      <c r="I13" s="33" t="str">
        <f t="shared" si="0"/>
        <v>2:2</v>
      </c>
      <c r="J13" s="33" t="str">
        <f>IFERROR(VLOOKUP(I13,Variables!$A$22:$B$47,2,FALSE()),"Por definir")</f>
        <v>MEDIO</v>
      </c>
    </row>
    <row r="14" spans="1:10" ht="72" customHeight="1" x14ac:dyDescent="0.3">
      <c r="A14" s="24" t="s">
        <v>114</v>
      </c>
      <c r="B14" s="25" t="s">
        <v>86</v>
      </c>
      <c r="C14" s="26" t="s">
        <v>115</v>
      </c>
      <c r="D14" s="27" t="s">
        <v>116</v>
      </c>
      <c r="E14" s="28" t="s">
        <v>11</v>
      </c>
      <c r="F14" s="28">
        <f>IFERROR(VLOOKUP(E14,Variables!$A$6:$E$10,5,0),"")</f>
        <v>2</v>
      </c>
      <c r="G14" s="28" t="s">
        <v>22</v>
      </c>
      <c r="H14" s="28">
        <f>IFERROR(VLOOKUP(G14,Variables!$A$14:$E$18,5,0),"")</f>
        <v>2</v>
      </c>
      <c r="I14" s="28" t="str">
        <f t="shared" si="0"/>
        <v>2:2</v>
      </c>
      <c r="J14" s="28" t="str">
        <f>IFERROR(VLOOKUP(I14,Variables!$A$22:$B$47,2,FALSE()),"Por definir")</f>
        <v>MEDIO</v>
      </c>
    </row>
    <row r="15" spans="1:10" ht="72" customHeight="1" x14ac:dyDescent="0.3">
      <c r="A15" s="34" t="s">
        <v>117</v>
      </c>
      <c r="B15" s="35" t="s">
        <v>118</v>
      </c>
      <c r="C15" s="36" t="s">
        <v>119</v>
      </c>
      <c r="D15" s="37" t="s">
        <v>120</v>
      </c>
      <c r="E15" s="38" t="s">
        <v>11</v>
      </c>
      <c r="F15" s="38">
        <f>IFERROR(VLOOKUP(E15,Variables!$A$6:$E$10,5,0),"")</f>
        <v>2</v>
      </c>
      <c r="G15" s="38" t="s">
        <v>20</v>
      </c>
      <c r="H15" s="38">
        <f>IFERROR(VLOOKUP(G15,Variables!$A$14:$E$18,5,0),"")</f>
        <v>3</v>
      </c>
      <c r="I15" s="38" t="str">
        <f t="shared" si="0"/>
        <v>OM</v>
      </c>
      <c r="J15" s="38" t="str">
        <f>IFERROR(VLOOKUP(I15,Variables!$A$22:$B$47,2,FALSE()),"Por definir")</f>
        <v>OPT. DE MEJORA</v>
      </c>
    </row>
    <row r="16" spans="1:10" ht="72" customHeight="1" x14ac:dyDescent="0.3">
      <c r="A16" s="34" t="s">
        <v>121</v>
      </c>
      <c r="B16" s="35" t="s">
        <v>118</v>
      </c>
      <c r="C16" s="36" t="s">
        <v>122</v>
      </c>
      <c r="D16" s="37" t="s">
        <v>123</v>
      </c>
      <c r="E16" s="38" t="s">
        <v>11</v>
      </c>
      <c r="F16" s="38">
        <f>IFERROR(VLOOKUP(E16,Variables!$A$6:$E$10,5,0),"")</f>
        <v>2</v>
      </c>
      <c r="G16" s="38" t="s">
        <v>22</v>
      </c>
      <c r="H16" s="38">
        <f>IFERROR(VLOOKUP(G16,Variables!$A$14:$E$18,5,0),"")</f>
        <v>2</v>
      </c>
      <c r="I16" s="38" t="str">
        <f t="shared" si="0"/>
        <v>OM</v>
      </c>
      <c r="J16" s="38" t="str">
        <f>IFERROR(VLOOKUP(I16,Variables!$A$22:$B$47,2,FALSE()),"Por definir")</f>
        <v>OPT. DE MEJORA</v>
      </c>
    </row>
    <row r="17" spans="1:10" ht="72" customHeight="1" x14ac:dyDescent="0.3">
      <c r="A17" s="34" t="s">
        <v>124</v>
      </c>
      <c r="B17" s="35" t="s">
        <v>118</v>
      </c>
      <c r="C17" s="36" t="s">
        <v>125</v>
      </c>
      <c r="D17" s="37" t="s">
        <v>126</v>
      </c>
      <c r="E17" s="38" t="s">
        <v>13</v>
      </c>
      <c r="F17" s="38">
        <f>IFERROR(VLOOKUP(E17,Variables!$A$6:$E$10,5,0),"")</f>
        <v>1</v>
      </c>
      <c r="G17" s="38" t="s">
        <v>22</v>
      </c>
      <c r="H17" s="38">
        <f>IFERROR(VLOOKUP(G17,Variables!$A$14:$E$18,5,0),"")</f>
        <v>2</v>
      </c>
      <c r="I17" s="38" t="str">
        <f t="shared" si="0"/>
        <v>OM</v>
      </c>
      <c r="J17" s="38" t="str">
        <f>IFERROR(VLOOKUP(I17,Variables!$A$22:$B$47,2,FALSE()),"Por definir")</f>
        <v>OPT. DE MEJORA</v>
      </c>
    </row>
    <row r="18" spans="1:10" ht="72" customHeight="1" x14ac:dyDescent="0.3">
      <c r="A18" s="34" t="s">
        <v>127</v>
      </c>
      <c r="B18" s="35" t="s">
        <v>118</v>
      </c>
      <c r="C18" s="36" t="s">
        <v>128</v>
      </c>
      <c r="D18" s="37" t="s">
        <v>129</v>
      </c>
      <c r="E18" s="38" t="s">
        <v>11</v>
      </c>
      <c r="F18" s="38">
        <f>IFERROR(VLOOKUP(E18,Variables!$A$6:$E$10,5,0),"")</f>
        <v>2</v>
      </c>
      <c r="G18" s="38" t="s">
        <v>22</v>
      </c>
      <c r="H18" s="38">
        <f>IFERROR(VLOOKUP(G18,Variables!$A$14:$E$18,5,0),"")</f>
        <v>2</v>
      </c>
      <c r="I18" s="38" t="str">
        <f t="shared" si="0"/>
        <v>OM</v>
      </c>
      <c r="J18" s="38" t="str">
        <f>IFERROR(VLOOKUP(I18,Variables!$A$22:$B$47,2,FALSE()),"Por definir")</f>
        <v>OPT. DE MEJORA</v>
      </c>
    </row>
    <row r="19" spans="1:10" ht="18" customHeight="1" x14ac:dyDescent="0.3">
      <c r="A19" s="24"/>
      <c r="B19" s="24"/>
      <c r="C19" s="24"/>
      <c r="D19" s="24"/>
      <c r="E19" s="24"/>
      <c r="F19" s="24" t="str">
        <f>IFERROR(VLOOKUP(E19,Variables!$A$6:$E$10,5,0),"")</f>
        <v/>
      </c>
      <c r="G19" s="24"/>
      <c r="H19" s="24" t="str">
        <f>IFERROR(VLOOKUP(G19,Variables!$A$14:$E$18,5,0),"")</f>
        <v/>
      </c>
      <c r="I19" s="24" t="str">
        <f t="shared" si="0"/>
        <v>:</v>
      </c>
      <c r="J19" s="24" t="str">
        <f>IFERROR(VLOOKUP(I19,Variables!$A$22:$B$47,2,FALSE()),"")</f>
        <v/>
      </c>
    </row>
    <row r="20" spans="1:10" ht="18" customHeight="1" x14ac:dyDescent="0.3">
      <c r="A20" s="24"/>
      <c r="B20" s="24"/>
      <c r="C20" s="24"/>
      <c r="D20" s="24"/>
      <c r="E20" s="24"/>
      <c r="F20" s="24" t="str">
        <f>IFERROR(VLOOKUP(E20,Variables!$A$6:$E$10,5,0),"")</f>
        <v/>
      </c>
      <c r="G20" s="24"/>
      <c r="H20" s="24" t="str">
        <f>IFERROR(VLOOKUP(G20,Variables!$A$14:$E$18,5,0),"")</f>
        <v/>
      </c>
      <c r="I20" s="24" t="str">
        <f t="shared" si="0"/>
        <v>:</v>
      </c>
      <c r="J20" s="24" t="str">
        <f>IFERROR(VLOOKUP(I20,Variables!$A$22:$B$47,2,FALSE()),"")</f>
        <v/>
      </c>
    </row>
    <row r="21" spans="1:10" ht="18" customHeight="1" x14ac:dyDescent="0.3">
      <c r="A21" s="24"/>
      <c r="B21" s="24"/>
      <c r="C21" s="24"/>
      <c r="D21" s="24"/>
      <c r="E21" s="24"/>
      <c r="F21" s="24" t="str">
        <f>IFERROR(VLOOKUP(E21,Variables!$A$6:$E$10,5,0),"")</f>
        <v/>
      </c>
      <c r="G21" s="24"/>
      <c r="H21" s="24" t="str">
        <f>IFERROR(VLOOKUP(G21,Variables!$A$14:$E$18,5,0),"")</f>
        <v/>
      </c>
      <c r="I21" s="24" t="str">
        <f t="shared" si="0"/>
        <v>:</v>
      </c>
      <c r="J21" s="24" t="str">
        <f>IFERROR(VLOOKUP(I21,Variables!$A$22:$B$47,2,FALSE()),"")</f>
        <v/>
      </c>
    </row>
    <row r="22" spans="1:10" ht="18" customHeight="1" x14ac:dyDescent="0.3">
      <c r="A22" s="24"/>
      <c r="B22" s="24"/>
      <c r="C22" s="24"/>
      <c r="D22" s="24"/>
      <c r="E22" s="24"/>
      <c r="F22" s="24" t="str">
        <f>IFERROR(VLOOKUP(E22,Variables!$A$6:$E$10,5,0),"")</f>
        <v/>
      </c>
      <c r="G22" s="24"/>
      <c r="H22" s="24" t="str">
        <f>IFERROR(VLOOKUP(G22,Variables!$A$14:$E$18,5,0),"")</f>
        <v/>
      </c>
      <c r="I22" s="24" t="str">
        <f t="shared" si="0"/>
        <v>:</v>
      </c>
      <c r="J22" s="24" t="str">
        <f>IFERROR(VLOOKUP(I22,Variables!$A$22:$B$47,2,FALSE()),"")</f>
        <v/>
      </c>
    </row>
    <row r="23" spans="1:10" ht="18" customHeight="1" x14ac:dyDescent="0.3">
      <c r="A23" s="24"/>
      <c r="B23" s="24"/>
      <c r="C23" s="24"/>
      <c r="D23" s="24"/>
      <c r="E23" s="24"/>
      <c r="F23" s="24" t="str">
        <f>IFERROR(VLOOKUP(E23,Variables!$A$6:$E$10,5,0),"")</f>
        <v/>
      </c>
      <c r="G23" s="24"/>
      <c r="H23" s="24" t="str">
        <f>IFERROR(VLOOKUP(G23,Variables!$A$14:$E$18,5,0),"")</f>
        <v/>
      </c>
      <c r="I23" s="24" t="str">
        <f t="shared" si="0"/>
        <v>:</v>
      </c>
      <c r="J23" s="24" t="str">
        <f>IFERROR(VLOOKUP(I23,Variables!$A$22:$B$47,2,FALSE()),"")</f>
        <v/>
      </c>
    </row>
    <row r="24" spans="1:10" ht="18" customHeight="1" x14ac:dyDescent="0.3">
      <c r="A24" s="24"/>
      <c r="B24" s="24"/>
      <c r="C24" s="24"/>
      <c r="D24" s="24"/>
      <c r="E24" s="24"/>
      <c r="F24" s="24" t="str">
        <f>IFERROR(VLOOKUP(E24,Variables!$A$6:$E$10,5,0),"")</f>
        <v/>
      </c>
      <c r="G24" s="24"/>
      <c r="H24" s="24" t="str">
        <f>IFERROR(VLOOKUP(G24,Variables!$A$14:$E$18,5,0),"")</f>
        <v/>
      </c>
      <c r="I24" s="24" t="str">
        <f t="shared" si="0"/>
        <v>:</v>
      </c>
      <c r="J24" s="24" t="str">
        <f>IFERROR(VLOOKUP(I24,Variables!$A$22:$B$47,2,FALSE()),"")</f>
        <v/>
      </c>
    </row>
    <row r="25" spans="1:10" ht="18" customHeight="1" x14ac:dyDescent="0.3">
      <c r="A25" s="24"/>
      <c r="B25" s="24"/>
      <c r="C25" s="24"/>
      <c r="D25" s="24"/>
      <c r="E25" s="24"/>
      <c r="F25" s="24" t="str">
        <f>IFERROR(VLOOKUP(E25,Variables!$A$6:$E$10,5,0),"")</f>
        <v/>
      </c>
      <c r="G25" s="24"/>
      <c r="H25" s="24" t="str">
        <f>IFERROR(VLOOKUP(G25,Variables!$A$14:$E$18,5,0),"")</f>
        <v/>
      </c>
      <c r="I25" s="24" t="str">
        <f t="shared" si="0"/>
        <v>:</v>
      </c>
      <c r="J25" s="24" t="str">
        <f>IFERROR(VLOOKUP(I25,Variables!$A$22:$B$47,2,FALSE()),"")</f>
        <v/>
      </c>
    </row>
    <row r="26" spans="1:10" ht="18" customHeight="1" x14ac:dyDescent="0.3">
      <c r="A26" s="24"/>
      <c r="B26" s="24"/>
      <c r="C26" s="24"/>
      <c r="D26" s="24"/>
      <c r="E26" s="24"/>
      <c r="F26" s="24" t="str">
        <f>IFERROR(VLOOKUP(E26,Variables!$A$6:$E$10,5,0),"")</f>
        <v/>
      </c>
      <c r="G26" s="24"/>
      <c r="H26" s="24" t="str">
        <f>IFERROR(VLOOKUP(G26,Variables!$A$14:$E$18,5,0),"")</f>
        <v/>
      </c>
      <c r="I26" s="24" t="str">
        <f t="shared" si="0"/>
        <v>:</v>
      </c>
      <c r="J26" s="24" t="str">
        <f>IFERROR(VLOOKUP(I26,Variables!$A$22:$B$47,2,FALSE()),"")</f>
        <v/>
      </c>
    </row>
    <row r="27" spans="1:10" ht="18" customHeight="1" x14ac:dyDescent="0.3">
      <c r="A27" s="24"/>
      <c r="B27" s="24"/>
      <c r="C27" s="24"/>
      <c r="D27" s="24"/>
      <c r="E27" s="24"/>
      <c r="F27" s="24" t="str">
        <f>IFERROR(VLOOKUP(E27,Variables!$A$6:$E$10,5,0),"")</f>
        <v/>
      </c>
      <c r="G27" s="24"/>
      <c r="H27" s="24" t="str">
        <f>IFERROR(VLOOKUP(G27,Variables!$A$14:$E$18,5,0),"")</f>
        <v/>
      </c>
      <c r="I27" s="24" t="str">
        <f t="shared" si="0"/>
        <v>:</v>
      </c>
      <c r="J27" s="24" t="str">
        <f>IFERROR(VLOOKUP(I27,Variables!$A$22:$B$47,2,FALSE()),"")</f>
        <v/>
      </c>
    </row>
    <row r="28" spans="1:10" ht="18" customHeight="1" x14ac:dyDescent="0.3">
      <c r="A28" s="24"/>
      <c r="B28" s="24"/>
      <c r="C28" s="24"/>
      <c r="D28" s="24"/>
      <c r="E28" s="24"/>
      <c r="F28" s="24" t="str">
        <f>IFERROR(VLOOKUP(E28,Variables!$A$6:$E$10,5,0),"")</f>
        <v/>
      </c>
      <c r="G28" s="24"/>
      <c r="H28" s="24" t="str">
        <f>IFERROR(VLOOKUP(G28,Variables!$A$14:$E$18,5,0),"")</f>
        <v/>
      </c>
      <c r="I28" s="24" t="str">
        <f t="shared" si="0"/>
        <v>:</v>
      </c>
      <c r="J28" s="24" t="str">
        <f>IFERROR(VLOOKUP(I28,Variables!$A$22:$B$47,2,FALSE()),"")</f>
        <v/>
      </c>
    </row>
    <row r="29" spans="1:10" ht="18" customHeight="1" x14ac:dyDescent="0.3">
      <c r="A29" s="24"/>
      <c r="B29" s="24"/>
      <c r="C29" s="24"/>
      <c r="D29" s="24"/>
      <c r="E29" s="24"/>
      <c r="F29" s="24" t="str">
        <f>IFERROR(VLOOKUP(E29,Variables!$A$6:$E$10,5,0),"")</f>
        <v/>
      </c>
      <c r="G29" s="24"/>
      <c r="H29" s="24" t="str">
        <f>IFERROR(VLOOKUP(G29,Variables!$A$14:$E$18,5,0),"")</f>
        <v/>
      </c>
      <c r="I29" s="24" t="str">
        <f t="shared" si="0"/>
        <v>:</v>
      </c>
      <c r="J29" s="24" t="str">
        <f>IFERROR(VLOOKUP(I29,Variables!$A$22:$B$47,2,FALSE()),"")</f>
        <v/>
      </c>
    </row>
    <row r="30" spans="1:10" ht="18" customHeight="1" x14ac:dyDescent="0.3">
      <c r="A30" s="24"/>
      <c r="B30" s="24"/>
      <c r="C30" s="24"/>
      <c r="D30" s="24"/>
      <c r="E30" s="24"/>
      <c r="F30" s="24" t="str">
        <f>IFERROR(VLOOKUP(E30,Variables!$A$6:$E$10,5,0),"")</f>
        <v/>
      </c>
      <c r="G30" s="24"/>
      <c r="H30" s="24" t="str">
        <f>IFERROR(VLOOKUP(G30,Variables!$A$14:$E$18,5,0),"")</f>
        <v/>
      </c>
      <c r="I30" s="24" t="str">
        <f t="shared" si="0"/>
        <v>:</v>
      </c>
      <c r="J30" s="24" t="str">
        <f>IFERROR(VLOOKUP(I30,Variables!$A$22:$B$47,2,FALSE()),"")</f>
        <v/>
      </c>
    </row>
    <row r="31" spans="1:10" ht="18" customHeight="1" x14ac:dyDescent="0.3">
      <c r="A31" s="24"/>
      <c r="B31" s="24"/>
      <c r="C31" s="24"/>
      <c r="D31" s="24"/>
      <c r="E31" s="24"/>
      <c r="F31" s="24" t="str">
        <f>IFERROR(VLOOKUP(E31,Variables!$A$6:$E$10,5,0),"")</f>
        <v/>
      </c>
      <c r="G31" s="24"/>
      <c r="H31" s="24" t="str">
        <f>IFERROR(VLOOKUP(G31,Variables!$A$14:$E$18,5,0),"")</f>
        <v/>
      </c>
      <c r="I31" s="24" t="str">
        <f t="shared" si="0"/>
        <v>:</v>
      </c>
      <c r="J31" s="24" t="str">
        <f>IFERROR(VLOOKUP(I31,Variables!$A$22:$B$47,2,FALSE()),"")</f>
        <v/>
      </c>
    </row>
    <row r="32" spans="1:10" ht="18" customHeight="1" x14ac:dyDescent="0.3">
      <c r="A32" s="24"/>
      <c r="B32" s="24"/>
      <c r="C32" s="24"/>
      <c r="D32" s="24"/>
      <c r="E32" s="24"/>
      <c r="F32" s="24" t="str">
        <f>IFERROR(VLOOKUP(E32,Variables!$A$6:$E$10,5,0),"")</f>
        <v/>
      </c>
      <c r="G32" s="24"/>
      <c r="H32" s="24" t="str">
        <f>IFERROR(VLOOKUP(G32,Variables!$A$14:$E$18,5,0),"")</f>
        <v/>
      </c>
      <c r="I32" s="24" t="str">
        <f t="shared" si="0"/>
        <v>:</v>
      </c>
      <c r="J32" s="24" t="str">
        <f>IFERROR(VLOOKUP(I32,Variables!$A$22:$B$47,2,FALSE()),"")</f>
        <v/>
      </c>
    </row>
    <row r="33" spans="1:10" ht="18" customHeight="1" x14ac:dyDescent="0.3">
      <c r="A33" s="24"/>
      <c r="B33" s="24"/>
      <c r="C33" s="24"/>
      <c r="D33" s="24"/>
      <c r="E33" s="24"/>
      <c r="F33" s="24" t="str">
        <f>IFERROR(VLOOKUP(E33,Variables!$A$6:$E$10,5,0),"")</f>
        <v/>
      </c>
      <c r="G33" s="24"/>
      <c r="H33" s="24" t="str">
        <f>IFERROR(VLOOKUP(G33,Variables!$A$14:$E$18,5,0),"")</f>
        <v/>
      </c>
      <c r="I33" s="24" t="str">
        <f t="shared" si="0"/>
        <v>:</v>
      </c>
      <c r="J33" s="24" t="str">
        <f>IFERROR(VLOOKUP(I33,Variables!$A$22:$B$47,2,FALSE()),"")</f>
        <v/>
      </c>
    </row>
    <row r="34" spans="1:10" ht="18" customHeight="1" x14ac:dyDescent="0.3">
      <c r="A34" s="24"/>
      <c r="B34" s="24"/>
      <c r="C34" s="24"/>
      <c r="D34" s="24"/>
      <c r="E34" s="24"/>
      <c r="F34" s="24" t="str">
        <f>IFERROR(VLOOKUP(E34,Variables!$A$6:$E$10,5,0),"")</f>
        <v/>
      </c>
      <c r="G34" s="24"/>
      <c r="H34" s="24" t="str">
        <f>IFERROR(VLOOKUP(G34,Variables!$A$14:$E$18,5,0),"")</f>
        <v/>
      </c>
      <c r="I34" s="24" t="str">
        <f t="shared" si="0"/>
        <v>:</v>
      </c>
      <c r="J34" s="24" t="str">
        <f>IFERROR(VLOOKUP(I34,Variables!$A$22:$B$47,2,FALSE()),"")</f>
        <v/>
      </c>
    </row>
    <row r="35" spans="1:10" ht="18" customHeight="1" x14ac:dyDescent="0.3">
      <c r="A35" s="24"/>
      <c r="B35" s="24"/>
      <c r="C35" s="24"/>
      <c r="D35" s="24"/>
      <c r="E35" s="24"/>
      <c r="F35" s="24" t="str">
        <f>IFERROR(VLOOKUP(E35,Variables!$A$6:$E$10,5,0),"")</f>
        <v/>
      </c>
      <c r="G35" s="24"/>
      <c r="H35" s="24" t="str">
        <f>IFERROR(VLOOKUP(G35,Variables!$A$14:$E$18,5,0),"")</f>
        <v/>
      </c>
      <c r="I35" s="24" t="str">
        <f t="shared" si="0"/>
        <v>:</v>
      </c>
      <c r="J35" s="24" t="str">
        <f>IFERROR(VLOOKUP(I35,Variables!$A$22:$B$47,2,FALSE()),"")</f>
        <v/>
      </c>
    </row>
    <row r="36" spans="1:10" ht="18" customHeight="1" x14ac:dyDescent="0.3">
      <c r="A36" s="24"/>
      <c r="B36" s="24"/>
      <c r="C36" s="24"/>
      <c r="D36" s="24"/>
      <c r="E36" s="24"/>
      <c r="F36" s="24" t="str">
        <f>IFERROR(VLOOKUP(E36,Variables!$A$6:$E$10,5,0),"")</f>
        <v/>
      </c>
      <c r="G36" s="24"/>
      <c r="H36" s="24" t="str">
        <f>IFERROR(VLOOKUP(G36,Variables!$A$14:$E$18,5,0),"")</f>
        <v/>
      </c>
      <c r="I36" s="24" t="str">
        <f t="shared" si="0"/>
        <v>:</v>
      </c>
      <c r="J36" s="24" t="str">
        <f>IFERROR(VLOOKUP(I36,Variables!$A$22:$B$47,2,FALSE()),"")</f>
        <v/>
      </c>
    </row>
    <row r="37" spans="1:10" ht="18" customHeight="1" x14ac:dyDescent="0.3">
      <c r="A37" s="24"/>
      <c r="B37" s="24"/>
      <c r="C37" s="24"/>
      <c r="D37" s="24"/>
      <c r="E37" s="24"/>
      <c r="F37" s="24" t="str">
        <f>IFERROR(VLOOKUP(E37,Variables!$A$6:$E$10,5,0),"")</f>
        <v/>
      </c>
      <c r="G37" s="24"/>
      <c r="H37" s="24" t="str">
        <f>IFERROR(VLOOKUP(G37,Variables!$A$14:$E$18,5,0),"")</f>
        <v/>
      </c>
      <c r="I37" s="24" t="str">
        <f t="shared" si="0"/>
        <v>:</v>
      </c>
      <c r="J37" s="24" t="str">
        <f>IFERROR(VLOOKUP(I37,Variables!$A$22:$B$47,2,FALSE()),"")</f>
        <v/>
      </c>
    </row>
    <row r="38" spans="1:10" ht="18" customHeight="1" x14ac:dyDescent="0.3">
      <c r="A38" s="24"/>
      <c r="B38" s="24"/>
      <c r="C38" s="24"/>
      <c r="D38" s="24"/>
      <c r="E38" s="24"/>
      <c r="F38" s="24" t="str">
        <f>IFERROR(VLOOKUP(E38,Variables!$A$6:$E$10,5,0),"")</f>
        <v/>
      </c>
      <c r="G38" s="24"/>
      <c r="H38" s="24" t="str">
        <f>IFERROR(VLOOKUP(G38,Variables!$A$14:$E$18,5,0),"")</f>
        <v/>
      </c>
      <c r="I38" s="24" t="str">
        <f t="shared" si="0"/>
        <v>:</v>
      </c>
      <c r="J38" s="24" t="str">
        <f>IFERROR(VLOOKUP(I38,Variables!$A$22:$B$47,2,FALSE()),"")</f>
        <v/>
      </c>
    </row>
    <row r="39" spans="1:10" ht="18" customHeight="1" x14ac:dyDescent="0.3">
      <c r="A39" s="24"/>
      <c r="B39" s="24"/>
      <c r="C39" s="24"/>
      <c r="D39" s="24"/>
      <c r="E39" s="24"/>
      <c r="F39" s="24" t="str">
        <f>IFERROR(VLOOKUP(E39,Variables!$A$6:$E$10,5,0),"")</f>
        <v/>
      </c>
      <c r="G39" s="24"/>
      <c r="H39" s="24" t="str">
        <f>IFERROR(VLOOKUP(G39,Variables!$A$14:$E$18,5,0),"")</f>
        <v/>
      </c>
      <c r="I39" s="24" t="str">
        <f t="shared" si="0"/>
        <v>:</v>
      </c>
      <c r="J39" s="24" t="str">
        <f>IFERROR(VLOOKUP(I39,Variables!$A$22:$B$47,2,FALSE()),"")</f>
        <v/>
      </c>
    </row>
    <row r="40" spans="1:10" ht="18" customHeight="1" x14ac:dyDescent="0.3">
      <c r="A40" s="24"/>
      <c r="B40" s="24"/>
      <c r="C40" s="24"/>
      <c r="D40" s="24"/>
      <c r="E40" s="24"/>
      <c r="F40" s="24" t="str">
        <f>IFERROR(VLOOKUP(E40,Variables!$A$6:$E$10,5,0),"")</f>
        <v/>
      </c>
      <c r="G40" s="24"/>
      <c r="H40" s="24" t="str">
        <f>IFERROR(VLOOKUP(G40,Variables!$A$14:$E$18,5,0),"")</f>
        <v/>
      </c>
      <c r="I40" s="24" t="str">
        <f t="shared" si="0"/>
        <v>:</v>
      </c>
      <c r="J40" s="24" t="str">
        <f>IFERROR(VLOOKUP(I40,Variables!$A$22:$B$47,2,FALSE()),"")</f>
        <v/>
      </c>
    </row>
    <row r="41" spans="1:10" ht="18" customHeight="1" x14ac:dyDescent="0.3">
      <c r="A41" s="24"/>
      <c r="B41" s="24"/>
      <c r="C41" s="24"/>
      <c r="D41" s="24"/>
      <c r="E41" s="24"/>
      <c r="F41" s="24" t="str">
        <f>IFERROR(VLOOKUP(E41,Variables!$A$6:$E$10,5,0),"")</f>
        <v/>
      </c>
      <c r="G41" s="24"/>
      <c r="H41" s="24" t="str">
        <f>IFERROR(VLOOKUP(G41,Variables!$A$14:$E$18,5,0),"")</f>
        <v/>
      </c>
      <c r="I41" s="24" t="str">
        <f t="shared" si="0"/>
        <v>:</v>
      </c>
      <c r="J41" s="24" t="str">
        <f>IFERROR(VLOOKUP(I41,Variables!$A$22:$B$47,2,FALSE()),"")</f>
        <v/>
      </c>
    </row>
    <row r="42" spans="1:10" ht="18" customHeight="1" x14ac:dyDescent="0.3">
      <c r="A42" s="24"/>
      <c r="B42" s="24"/>
      <c r="C42" s="24"/>
      <c r="D42" s="24"/>
      <c r="E42" s="24"/>
      <c r="F42" s="24" t="str">
        <f>IFERROR(VLOOKUP(E42,Variables!$A$6:$E$10,5,0),"")</f>
        <v/>
      </c>
      <c r="G42" s="24"/>
      <c r="H42" s="24" t="str">
        <f>IFERROR(VLOOKUP(G42,Variables!$A$14:$E$18,5,0),"")</f>
        <v/>
      </c>
      <c r="I42" s="24" t="str">
        <f t="shared" si="0"/>
        <v>:</v>
      </c>
      <c r="J42" s="24" t="str">
        <f>IFERROR(VLOOKUP(I42,Variables!$A$22:$B$47,2,FALSE()),"")</f>
        <v/>
      </c>
    </row>
    <row r="43" spans="1:10" ht="18" customHeight="1" x14ac:dyDescent="0.3">
      <c r="A43" s="24"/>
      <c r="B43" s="24"/>
      <c r="C43" s="24"/>
      <c r="D43" s="24"/>
      <c r="E43" s="24"/>
      <c r="F43" s="24" t="str">
        <f>IFERROR(VLOOKUP(E43,Variables!$A$6:$E$10,5,0),"")</f>
        <v/>
      </c>
      <c r="G43" s="24"/>
      <c r="H43" s="24" t="str">
        <f>IFERROR(VLOOKUP(G43,Variables!$A$14:$E$18,5,0),"")</f>
        <v/>
      </c>
      <c r="I43" s="24" t="str">
        <f t="shared" si="0"/>
        <v>:</v>
      </c>
      <c r="J43" s="24" t="str">
        <f>IFERROR(VLOOKUP(I43,Variables!$A$22:$B$47,2,FALSE()),"")</f>
        <v/>
      </c>
    </row>
    <row r="44" spans="1:10" ht="18" customHeight="1" x14ac:dyDescent="0.3">
      <c r="A44" s="24"/>
      <c r="B44" s="24"/>
      <c r="C44" s="24"/>
      <c r="D44" s="24"/>
      <c r="E44" s="24"/>
      <c r="F44" s="24" t="str">
        <f>IFERROR(VLOOKUP(E44,Variables!$A$6:$E$10,5,0),"")</f>
        <v/>
      </c>
      <c r="G44" s="24"/>
      <c r="H44" s="24" t="str">
        <f>IFERROR(VLOOKUP(G44,Variables!$A$14:$E$18,5,0),"")</f>
        <v/>
      </c>
      <c r="I44" s="24" t="str">
        <f t="shared" si="0"/>
        <v>:</v>
      </c>
      <c r="J44" s="24" t="str">
        <f>IFERROR(VLOOKUP(I44,Variables!$A$22:$B$47,2,FALSE()),"")</f>
        <v/>
      </c>
    </row>
    <row r="45" spans="1:10" ht="18" customHeight="1" x14ac:dyDescent="0.3">
      <c r="A45" s="24"/>
      <c r="B45" s="24"/>
      <c r="C45" s="24"/>
      <c r="D45" s="24"/>
      <c r="E45" s="24"/>
      <c r="F45" s="24" t="str">
        <f>IFERROR(VLOOKUP(E45,Variables!$A$6:$E$10,5,0),"")</f>
        <v/>
      </c>
      <c r="G45" s="24"/>
      <c r="H45" s="24" t="str">
        <f>IFERROR(VLOOKUP(G45,Variables!$A$14:$E$18,5,0),"")</f>
        <v/>
      </c>
      <c r="I45" s="24" t="str">
        <f t="shared" si="0"/>
        <v>:</v>
      </c>
      <c r="J45" s="24" t="str">
        <f>IFERROR(VLOOKUP(I45,Variables!$A$22:$B$47,2,FALSE()),"")</f>
        <v/>
      </c>
    </row>
    <row r="46" spans="1:10" ht="18" customHeight="1" x14ac:dyDescent="0.3">
      <c r="A46" s="24"/>
      <c r="B46" s="24"/>
      <c r="C46" s="24"/>
      <c r="D46" s="24"/>
      <c r="E46" s="24"/>
      <c r="F46" s="24" t="str">
        <f>IFERROR(VLOOKUP(E46,Variables!$A$6:$E$10,5,0),"")</f>
        <v/>
      </c>
      <c r="G46" s="24"/>
      <c r="H46" s="24" t="str">
        <f>IFERROR(VLOOKUP(G46,Variables!$A$14:$E$18,5,0),"")</f>
        <v/>
      </c>
      <c r="I46" s="24" t="str">
        <f t="shared" si="0"/>
        <v>:</v>
      </c>
      <c r="J46" s="24" t="str">
        <f>IFERROR(VLOOKUP(I46,Variables!$A$22:$B$47,2,FALSE()),"")</f>
        <v/>
      </c>
    </row>
    <row r="47" spans="1:10" ht="18" customHeight="1" x14ac:dyDescent="0.3">
      <c r="A47" s="24"/>
      <c r="B47" s="24"/>
      <c r="C47" s="24"/>
      <c r="D47" s="24"/>
      <c r="E47" s="24"/>
      <c r="F47" s="24" t="str">
        <f>IFERROR(VLOOKUP(E47,Variables!$A$6:$E$10,5,0),"")</f>
        <v/>
      </c>
      <c r="G47" s="24"/>
      <c r="H47" s="24" t="str">
        <f>IFERROR(VLOOKUP(G47,Variables!$A$14:$E$18,5,0),"")</f>
        <v/>
      </c>
      <c r="I47" s="24" t="str">
        <f t="shared" si="0"/>
        <v>:</v>
      </c>
      <c r="J47" s="24" t="str">
        <f>IFERROR(VLOOKUP(I47,Variables!$A$22:$B$47,2,FALSE()),"")</f>
        <v/>
      </c>
    </row>
    <row r="48" spans="1:10" ht="18" customHeight="1" x14ac:dyDescent="0.3">
      <c r="A48" s="24"/>
      <c r="B48" s="24"/>
      <c r="C48" s="24"/>
      <c r="D48" s="24"/>
      <c r="E48" s="24"/>
      <c r="F48" s="24" t="str">
        <f>IFERROR(VLOOKUP(E48,Variables!$A$6:$E$10,5,0),"")</f>
        <v/>
      </c>
      <c r="G48" s="24"/>
      <c r="H48" s="24" t="str">
        <f>IFERROR(VLOOKUP(G48,Variables!$A$14:$E$18,5,0),"")</f>
        <v/>
      </c>
      <c r="I48" s="24" t="str">
        <f t="shared" si="0"/>
        <v>:</v>
      </c>
      <c r="J48" s="24" t="str">
        <f>IFERROR(VLOOKUP(I48,Variables!$A$22:$B$47,2,FALSE()),"")</f>
        <v/>
      </c>
    </row>
    <row r="49" spans="1:10" ht="18" customHeight="1" x14ac:dyDescent="0.3">
      <c r="A49" s="24"/>
      <c r="B49" s="24"/>
      <c r="C49" s="24"/>
      <c r="D49" s="24"/>
      <c r="E49" s="24"/>
      <c r="F49" s="24" t="str">
        <f>IFERROR(VLOOKUP(E49,Variables!$A$6:$E$10,5,0),"")</f>
        <v/>
      </c>
      <c r="G49" s="24"/>
      <c r="H49" s="24" t="str">
        <f>IFERROR(VLOOKUP(G49,Variables!$A$14:$E$18,5,0),"")</f>
        <v/>
      </c>
      <c r="I49" s="24" t="str">
        <f t="shared" si="0"/>
        <v>:</v>
      </c>
      <c r="J49" s="24" t="str">
        <f>IFERROR(VLOOKUP(I49,Variables!$A$22:$B$47,2,FALSE()),"")</f>
        <v/>
      </c>
    </row>
    <row r="50" spans="1:10" ht="18" customHeight="1" x14ac:dyDescent="0.3">
      <c r="A50" s="24"/>
      <c r="B50" s="24"/>
      <c r="C50" s="24"/>
      <c r="D50" s="24"/>
      <c r="E50" s="24"/>
      <c r="F50" s="24" t="str">
        <f>IFERROR(VLOOKUP(E50,Variables!$A$6:$E$10,5,0),"")</f>
        <v/>
      </c>
      <c r="G50" s="24"/>
      <c r="H50" s="24" t="str">
        <f>IFERROR(VLOOKUP(G50,Variables!$A$14:$E$18,5,0),"")</f>
        <v/>
      </c>
      <c r="I50" s="24" t="str">
        <f t="shared" si="0"/>
        <v>:</v>
      </c>
      <c r="J50" s="24" t="str">
        <f>IFERROR(VLOOKUP(I50,Variables!$A$22:$B$47,2,FALSE()),"")</f>
        <v/>
      </c>
    </row>
  </sheetData>
  <mergeCells count="2">
    <mergeCell ref="A1:J1"/>
    <mergeCell ref="A2:J2"/>
  </mergeCells>
  <conditionalFormatting sqref="A4:J50">
    <cfRule type="expression" dxfId="14" priority="7">
      <formula>$J4="CRÍTICO"</formula>
    </cfRule>
    <cfRule type="expression" dxfId="13" priority="8">
      <formula>$J4="MEDIO-ALTO"</formula>
    </cfRule>
    <cfRule type="expression" dxfId="12" priority="9">
      <formula>$J4="MEDIO"</formula>
    </cfRule>
    <cfRule type="expression" dxfId="11" priority="10">
      <formula>$J4="BAJO"</formula>
    </cfRule>
    <cfRule type="expression" dxfId="10" priority="11">
      <formula>$J4="OPT. DE MEJORA"</formula>
    </cfRule>
  </conditionalFormatting>
  <conditionalFormatting sqref="E4:H50">
    <cfRule type="expression" dxfId="9" priority="12">
      <formula>$J4="CRÍTICO"</formula>
    </cfRule>
    <cfRule type="expression" dxfId="8" priority="13">
      <formula>$J4="MEDIO-ALTO"</formula>
    </cfRule>
    <cfRule type="expression" dxfId="7" priority="14">
      <formula>$J4="MEDIO"</formula>
    </cfRule>
    <cfRule type="expression" dxfId="6" priority="15">
      <formula>$J4="BAJO"</formula>
    </cfRule>
    <cfRule type="expression" dxfId="5" priority="16">
      <formula>$J4="OPT. DE MEJORA"</formula>
    </cfRule>
  </conditionalFormatting>
  <conditionalFormatting sqref="J4:J50">
    <cfRule type="containsText" dxfId="4" priority="2" operator="containsText" text="CRÍTICO">
      <formula>NOT(ISERROR(SEARCH("CRÍTICO",J4)))</formula>
    </cfRule>
    <cfRule type="containsText" dxfId="3" priority="3" operator="containsText" text="MEDIO-ALTO">
      <formula>NOT(ISERROR(SEARCH("MEDIO-ALTO",J4)))</formula>
    </cfRule>
    <cfRule type="containsText" dxfId="2" priority="4" operator="containsText" text="MEDIO">
      <formula>NOT(ISERROR(SEARCH("MEDIO",J4)))</formula>
    </cfRule>
    <cfRule type="containsText" dxfId="1" priority="5" operator="containsText" text="BAJO">
      <formula>NOT(ISERROR(SEARCH("BAJO",J4)))</formula>
    </cfRule>
    <cfRule type="containsText" dxfId="0" priority="6" operator="containsText" text="OPT. DE MEJORA">
      <formula>NOT(ISERROR(SEARCH("OPT. DE MEJORA",J4)))</formula>
    </cfRule>
  </conditionalFormatting>
  <dataValidations count="1">
    <dataValidation type="list" allowBlank="1" sqref="B4:B50" xr:uid="{00000000-0002-0000-0100-000002000000}">
      <formula1>"Brecha,Oportunidad de Mejora"</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showErrorMessage="1" errorTitle="Valor no válido" error="Seleccione un valor de la lista" xr:uid="{00000000-0002-0000-0100-000000000000}">
          <x14:formula1>
            <xm:f>Variables!$A$6:$A$10</xm:f>
          </x14:formula1>
          <x14:formula2>
            <xm:f>0</xm:f>
          </x14:formula2>
          <xm:sqref>E4:E50</xm:sqref>
        </x14:dataValidation>
        <x14:dataValidation type="list" allowBlank="1" showErrorMessage="1" errorTitle="Valor no válido" error="Seleccione un valor de la lista" xr:uid="{00000000-0002-0000-0100-000001000000}">
          <x14:formula1>
            <xm:f>Variables!$A$14:$A$18</xm:f>
          </x14:formula1>
          <x14:formula2>
            <xm:f>0</xm:f>
          </x14:formula2>
          <xm:sqref>G4:G50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5"/>
  <sheetViews>
    <sheetView showGridLines="0" tabSelected="1" zoomScale="95" zoomScaleNormal="95" workbookViewId="0">
      <selection activeCell="O6" sqref="O6"/>
    </sheetView>
  </sheetViews>
  <sheetFormatPr baseColWidth="10" defaultColWidth="8.6640625" defaultRowHeight="14.4" x14ac:dyDescent="0.3"/>
  <cols>
    <col min="1" max="1" width="16" customWidth="1"/>
    <col min="2" max="2" width="10" customWidth="1"/>
    <col min="3" max="7" width="14" customWidth="1"/>
  </cols>
  <sheetData>
    <row r="1" spans="1:8" ht="31.5" customHeight="1" x14ac:dyDescent="0.3">
      <c r="A1" s="14" t="s">
        <v>130</v>
      </c>
      <c r="B1" s="14"/>
      <c r="C1" s="14"/>
      <c r="D1" s="14"/>
      <c r="E1" s="14"/>
      <c r="F1" s="14"/>
      <c r="G1" s="14"/>
      <c r="H1" s="14"/>
    </row>
    <row r="2" spans="1:8" ht="18" customHeight="1" x14ac:dyDescent="0.3">
      <c r="A2" s="13" t="s">
        <v>131</v>
      </c>
      <c r="B2" s="13"/>
      <c r="C2" s="13"/>
      <c r="D2" s="13"/>
      <c r="E2" s="13"/>
      <c r="F2" s="13"/>
      <c r="G2" s="13"/>
      <c r="H2" s="13"/>
    </row>
    <row r="3" spans="1:8" ht="39.75" customHeight="1" x14ac:dyDescent="0.3">
      <c r="A3" s="39" t="s">
        <v>132</v>
      </c>
      <c r="C3" s="15" t="s">
        <v>133</v>
      </c>
      <c r="D3" s="15" t="s">
        <v>134</v>
      </c>
      <c r="E3" s="15" t="s">
        <v>135</v>
      </c>
      <c r="F3" s="15" t="s">
        <v>136</v>
      </c>
      <c r="G3" s="15" t="s">
        <v>137</v>
      </c>
    </row>
    <row r="4" spans="1:8" ht="48" customHeight="1" x14ac:dyDescent="0.3">
      <c r="A4" s="15" t="s">
        <v>138</v>
      </c>
      <c r="B4" s="23">
        <v>5</v>
      </c>
      <c r="C4" s="40">
        <f>COUNTIF(Riesgos!$I$4:$I$50,"5:1")</f>
        <v>0</v>
      </c>
      <c r="D4" s="41">
        <f>COUNTIF(Riesgos!$I$4:$I$50,"5:2")</f>
        <v>0</v>
      </c>
      <c r="E4" s="42">
        <f>COUNTIF(Riesgos!$I$4:$I$50,"5:3")</f>
        <v>0</v>
      </c>
      <c r="F4" s="42">
        <f>COUNTIF(Riesgos!$I$4:$I$50,"5:4")</f>
        <v>0</v>
      </c>
      <c r="G4" s="42">
        <f>COUNTIF(Riesgos!$I$4:$I$50,"5:5")</f>
        <v>0</v>
      </c>
    </row>
    <row r="5" spans="1:8" ht="48" customHeight="1" x14ac:dyDescent="0.3">
      <c r="A5" s="15" t="s">
        <v>139</v>
      </c>
      <c r="B5" s="23">
        <v>4</v>
      </c>
      <c r="C5" s="40">
        <f>COUNTIF(Riesgos!$I$4:$I$50,"4:1")</f>
        <v>0</v>
      </c>
      <c r="D5" s="41">
        <f>COUNTIF(Riesgos!$I$4:$I$50,"4:2")</f>
        <v>0</v>
      </c>
      <c r="E5" s="41">
        <f>COUNTIF(Riesgos!$I$4:$I$50,"4:3")</f>
        <v>3</v>
      </c>
      <c r="F5" s="42">
        <f>COUNTIF(Riesgos!$I$4:$I$50,"4:4")</f>
        <v>2</v>
      </c>
      <c r="G5" s="42">
        <f>COUNTIF(Riesgos!$I$4:$I$50,"4:5")</f>
        <v>0</v>
      </c>
    </row>
    <row r="6" spans="1:8" ht="48" customHeight="1" x14ac:dyDescent="0.3">
      <c r="A6" s="15" t="s">
        <v>140</v>
      </c>
      <c r="B6" s="23">
        <v>3</v>
      </c>
      <c r="C6" s="43">
        <f>COUNTIF(Riesgos!$I$4:$I$50,"3:1")</f>
        <v>0</v>
      </c>
      <c r="D6" s="40">
        <f>COUNTIF(Riesgos!$I$4:$I$50,"3:2")</f>
        <v>0</v>
      </c>
      <c r="E6" s="41">
        <f>COUNTIF(Riesgos!$I$4:$I$50,"3:3")</f>
        <v>1</v>
      </c>
      <c r="F6" s="41">
        <f>COUNTIF(Riesgos!$I$4:$I$50,"3:4")</f>
        <v>2</v>
      </c>
      <c r="G6" s="42">
        <f>COUNTIF(Riesgos!$I$4:$I$50,"3:5")</f>
        <v>0</v>
      </c>
    </row>
    <row r="7" spans="1:8" ht="48" customHeight="1" x14ac:dyDescent="0.3">
      <c r="A7" s="15" t="s">
        <v>141</v>
      </c>
      <c r="B7" s="23">
        <v>2</v>
      </c>
      <c r="C7" s="43">
        <f>COUNTIF(Riesgos!$I$4:$I$50,"2:1")</f>
        <v>0</v>
      </c>
      <c r="D7" s="40">
        <f>COUNTIF(Riesgos!$I$4:$I$50,"2:2")</f>
        <v>2</v>
      </c>
      <c r="E7" s="40">
        <f>COUNTIF(Riesgos!$I$4:$I$50,"2:3")</f>
        <v>1</v>
      </c>
      <c r="F7" s="41">
        <f>COUNTIF(Riesgos!$I$4:$I$50,"2:4")</f>
        <v>0</v>
      </c>
      <c r="G7" s="41">
        <f>COUNTIF(Riesgos!$I$4:$I$50,"2:5")</f>
        <v>0</v>
      </c>
    </row>
    <row r="8" spans="1:8" ht="48" customHeight="1" x14ac:dyDescent="0.3">
      <c r="A8" s="15" t="s">
        <v>142</v>
      </c>
      <c r="B8" s="23">
        <v>1</v>
      </c>
      <c r="C8" s="43">
        <f>COUNTIF(Riesgos!$I$4:$I$50,"1:1")</f>
        <v>0</v>
      </c>
      <c r="D8" s="43">
        <f>COUNTIF(Riesgos!$I$4:$I$50,"1:2")</f>
        <v>0</v>
      </c>
      <c r="E8" s="43">
        <f>COUNTIF(Riesgos!$I$4:$I$50,"1:3")</f>
        <v>0</v>
      </c>
      <c r="F8" s="40">
        <f>COUNTIF(Riesgos!$I$4:$I$50,"1:4")</f>
        <v>0</v>
      </c>
      <c r="G8" s="40">
        <f>COUNTIF(Riesgos!$I$4:$I$50,"1:5")</f>
        <v>0</v>
      </c>
    </row>
    <row r="9" spans="1:8" ht="18" customHeight="1" x14ac:dyDescent="0.3">
      <c r="A9" s="44"/>
      <c r="B9" s="45" t="s">
        <v>143</v>
      </c>
      <c r="C9" s="39">
        <v>1</v>
      </c>
      <c r="D9" s="39">
        <v>2</v>
      </c>
      <c r="E9" s="39">
        <v>3</v>
      </c>
      <c r="F9" s="39">
        <v>4</v>
      </c>
      <c r="G9" s="39">
        <v>5</v>
      </c>
    </row>
    <row r="10" spans="1:8" ht="7.5" customHeight="1" x14ac:dyDescent="0.3"/>
    <row r="11" spans="1:8" ht="21.75" customHeight="1" x14ac:dyDescent="0.3">
      <c r="A11" s="9" t="s">
        <v>144</v>
      </c>
      <c r="B11" s="9"/>
      <c r="C11" s="9"/>
      <c r="D11" s="9"/>
      <c r="E11" s="9"/>
      <c r="F11" s="9"/>
      <c r="G11" s="9"/>
      <c r="H11" s="9"/>
    </row>
    <row r="12" spans="1:8" ht="21.75" customHeight="1" x14ac:dyDescent="0.3">
      <c r="A12" s="16" t="s">
        <v>35</v>
      </c>
      <c r="B12" s="16" t="s">
        <v>145</v>
      </c>
      <c r="C12" s="8" t="s">
        <v>146</v>
      </c>
      <c r="D12" s="8"/>
      <c r="E12" s="8"/>
      <c r="F12" s="8"/>
      <c r="G12" s="8"/>
      <c r="H12" s="8"/>
    </row>
    <row r="13" spans="1:8" ht="21.75" customHeight="1" x14ac:dyDescent="0.3">
      <c r="A13" s="17" t="s">
        <v>33</v>
      </c>
      <c r="B13" s="17" t="s">
        <v>147</v>
      </c>
      <c r="C13" s="8" t="s">
        <v>148</v>
      </c>
      <c r="D13" s="8"/>
      <c r="E13" s="8"/>
      <c r="F13" s="8"/>
      <c r="G13" s="8"/>
      <c r="H13" s="8"/>
    </row>
    <row r="14" spans="1:8" ht="21.75" customHeight="1" x14ac:dyDescent="0.3">
      <c r="A14" s="18" t="s">
        <v>31</v>
      </c>
      <c r="B14" s="18" t="s">
        <v>149</v>
      </c>
      <c r="C14" s="8" t="s">
        <v>150</v>
      </c>
      <c r="D14" s="8"/>
      <c r="E14" s="8"/>
      <c r="F14" s="8"/>
      <c r="G14" s="8"/>
      <c r="H14" s="8"/>
    </row>
    <row r="15" spans="1:8" ht="21.75" customHeight="1" x14ac:dyDescent="0.3">
      <c r="A15" s="19" t="s">
        <v>44</v>
      </c>
      <c r="B15" s="19" t="s">
        <v>151</v>
      </c>
      <c r="C15" s="8" t="s">
        <v>152</v>
      </c>
      <c r="D15" s="8"/>
      <c r="E15" s="8"/>
      <c r="F15" s="8"/>
      <c r="G15" s="8"/>
      <c r="H15" s="8"/>
    </row>
    <row r="16" spans="1:8" ht="21.75" customHeight="1" x14ac:dyDescent="0.3">
      <c r="A16" s="22" t="s">
        <v>60</v>
      </c>
      <c r="B16" s="22" t="s">
        <v>61</v>
      </c>
      <c r="C16" s="8" t="s">
        <v>153</v>
      </c>
      <c r="D16" s="8"/>
      <c r="E16" s="8"/>
      <c r="F16" s="8"/>
      <c r="G16" s="8"/>
      <c r="H16" s="8"/>
    </row>
    <row r="17" spans="1:8" ht="7.5" customHeight="1" x14ac:dyDescent="0.3"/>
    <row r="18" spans="1:8" ht="21.75" customHeight="1" x14ac:dyDescent="0.3">
      <c r="A18" s="9" t="s">
        <v>154</v>
      </c>
      <c r="B18" s="9"/>
      <c r="C18" s="9"/>
      <c r="D18" s="9"/>
      <c r="E18" s="9"/>
      <c r="F18" s="9"/>
      <c r="G18" s="9"/>
      <c r="H18" s="9"/>
    </row>
    <row r="19" spans="1:8" ht="24" customHeight="1" x14ac:dyDescent="0.3">
      <c r="A19" s="7" t="s">
        <v>155</v>
      </c>
      <c r="B19" s="7"/>
      <c r="C19" s="7"/>
      <c r="D19" s="7"/>
      <c r="E19" s="7"/>
      <c r="F19" s="7"/>
      <c r="G19" s="6">
        <f>COUNTIF(Riesgos!$J$4:$J$50,"CRÍTICO")</f>
        <v>2</v>
      </c>
      <c r="H19" s="6"/>
    </row>
    <row r="20" spans="1:8" ht="24" customHeight="1" x14ac:dyDescent="0.3">
      <c r="A20" s="7" t="s">
        <v>156</v>
      </c>
      <c r="B20" s="7"/>
      <c r="C20" s="7"/>
      <c r="D20" s="7"/>
      <c r="E20" s="7"/>
      <c r="F20" s="7"/>
      <c r="G20" s="5">
        <f>COUNTIF(Riesgos!$J$4:$J$50,"MEDIO-ALTO")</f>
        <v>6</v>
      </c>
      <c r="H20" s="5"/>
    </row>
    <row r="21" spans="1:8" ht="24" customHeight="1" x14ac:dyDescent="0.3">
      <c r="A21" s="7" t="s">
        <v>157</v>
      </c>
      <c r="B21" s="7"/>
      <c r="C21" s="7"/>
      <c r="D21" s="7"/>
      <c r="E21" s="7"/>
      <c r="F21" s="7"/>
      <c r="G21" s="4">
        <f>COUNTIF(Riesgos!$J$4:$J$50,"MEDIO")</f>
        <v>3</v>
      </c>
      <c r="H21" s="4"/>
    </row>
    <row r="22" spans="1:8" ht="24" customHeight="1" x14ac:dyDescent="0.3">
      <c r="A22" s="7" t="s">
        <v>158</v>
      </c>
      <c r="B22" s="7"/>
      <c r="C22" s="7"/>
      <c r="D22" s="7"/>
      <c r="E22" s="7"/>
      <c r="F22" s="7"/>
      <c r="G22" s="3">
        <f>COUNTIF(Riesgos!$J$4:$J$50,"BAJO")</f>
        <v>0</v>
      </c>
      <c r="H22" s="3"/>
    </row>
    <row r="23" spans="1:8" ht="24" customHeight="1" x14ac:dyDescent="0.3">
      <c r="A23" s="7" t="s">
        <v>159</v>
      </c>
      <c r="B23" s="7"/>
      <c r="C23" s="7"/>
      <c r="D23" s="7"/>
      <c r="E23" s="7"/>
      <c r="F23" s="7"/>
      <c r="G23" s="2">
        <f>COUNTIF(Riesgos!$J$4:$J$50,"OPT. DE MEJORA")</f>
        <v>4</v>
      </c>
      <c r="H23" s="2"/>
    </row>
    <row r="24" spans="1:8" ht="24" customHeight="1" x14ac:dyDescent="0.3">
      <c r="A24" s="7" t="s">
        <v>160</v>
      </c>
      <c r="B24" s="7"/>
      <c r="C24" s="7"/>
      <c r="D24" s="7"/>
      <c r="E24" s="7"/>
      <c r="F24" s="7"/>
      <c r="G24" s="1">
        <f>COUNTIF(Riesgos!$B$4:$B$50,"Brecha")</f>
        <v>11</v>
      </c>
      <c r="H24" s="1"/>
    </row>
    <row r="25" spans="1:8" ht="24" customHeight="1" x14ac:dyDescent="0.3">
      <c r="A25" s="7" t="s">
        <v>161</v>
      </c>
      <c r="B25" s="7"/>
      <c r="C25" s="7"/>
      <c r="D25" s="7"/>
      <c r="E25" s="7"/>
      <c r="F25" s="7"/>
      <c r="G25" s="46">
        <f>COUNTA(Riesgos!$A$4:$A$50)</f>
        <v>15</v>
      </c>
      <c r="H25" s="46"/>
    </row>
  </sheetData>
  <mergeCells count="23">
    <mergeCell ref="A23:F23"/>
    <mergeCell ref="G23:H23"/>
    <mergeCell ref="A24:F24"/>
    <mergeCell ref="G24:H24"/>
    <mergeCell ref="A25:F25"/>
    <mergeCell ref="G25:H25"/>
    <mergeCell ref="A20:F20"/>
    <mergeCell ref="G20:H20"/>
    <mergeCell ref="A21:F21"/>
    <mergeCell ref="G21:H21"/>
    <mergeCell ref="A22:F22"/>
    <mergeCell ref="G22:H22"/>
    <mergeCell ref="C14:H14"/>
    <mergeCell ref="C15:H15"/>
    <mergeCell ref="C16:H16"/>
    <mergeCell ref="A18:H18"/>
    <mergeCell ref="A19:F19"/>
    <mergeCell ref="G19:H19"/>
    <mergeCell ref="A1:H1"/>
    <mergeCell ref="A2:H2"/>
    <mergeCell ref="A11:H11"/>
    <mergeCell ref="C12:H12"/>
    <mergeCell ref="C13:H13"/>
  </mergeCells>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5b12e993-7b75-4aa5-a2bc-4990b444fe38}" enabled="1" method="Standard" siteId="{c9de2b36-bcfc-48fb-a955-391bcfd4938c}"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Variables</vt:lpstr>
      <vt:lpstr>Riesgos</vt:lpstr>
      <vt:lpstr>Matriz de Riesgos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Jose Antonio Serrano Brands</cp:lastModifiedBy>
  <cp:revision>0</cp:revision>
  <dcterms:created xsi:type="dcterms:W3CDTF">2026-04-02T21:30:47Z</dcterms:created>
  <dcterms:modified xsi:type="dcterms:W3CDTF">2026-04-02T21:35:28Z</dcterms:modified>
  <dc:language>en-US</dc:language>
</cp:coreProperties>
</file>