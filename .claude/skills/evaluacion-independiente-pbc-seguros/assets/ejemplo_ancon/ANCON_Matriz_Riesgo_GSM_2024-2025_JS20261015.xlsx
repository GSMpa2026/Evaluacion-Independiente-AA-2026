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Variables" sheetId="1" state="visible" r:id="rId3"/>
    <sheet name="Riesgos" sheetId="2" state="visible" r:id="rId4"/>
    <sheet name="Matriz de Riesgos" sheetId="3" state="visible" r:id="rId5"/>
  </sheets>
  <definedNames>
    <definedName function="false" hidden="true" localSheetId="1" name="_xlnm._FilterDatabase" vbProcedure="false">Riesgos!$A$3:$O$89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<sst xmlns="http://schemas.openxmlformats.org/spreadsheetml/2006/main" count="952" uniqueCount="456">
  <si>
    <t xml:space="preserve">ASEGURADORA ANCÓN, S.A. – VARIABLES DE VALORACIÓN DE RIESGOS BC/FT/FPADM</t>
  </si>
  <si>
    <t xml:space="preserve">Evaluación Independiente 2024-2025  |  Preparado por: José A. Serrano   |  02 abril 2026 (actualizado 02 octubre 2026)</t>
  </si>
  <si>
    <t xml:space="preserve">ESCALA DE PROBABILIDAD</t>
  </si>
  <si>
    <t xml:space="preserve">Nombre</t>
  </si>
  <si>
    <t xml:space="preserve">Descripción</t>
  </si>
  <si>
    <t xml:space="preserve">Puntaje</t>
  </si>
  <si>
    <t xml:space="preserve">Frecuente</t>
  </si>
  <si>
    <t xml:space="preserve">La probabilidad de ocurrencia del riesgo es muy alta; sucede en la mayoría de las circunstancias.</t>
  </si>
  <si>
    <t xml:space="preserve">Probable</t>
  </si>
  <si>
    <t xml:space="preserve">Es probable que el riesgo ocurra; los controles o procesos no son suficientemente efectivos para prevenirlo.</t>
  </si>
  <si>
    <t xml:space="preserve">Ocasional</t>
  </si>
  <si>
    <t xml:space="preserve">Existe la posibilidad de que el riesgo ocurra; los controles de mitigación no son del todo efectivos.</t>
  </si>
  <si>
    <t xml:space="preserve">Posible</t>
  </si>
  <si>
    <t xml:space="preserve">Existe una posibilidad limitada de que el riesgo ocurra; es poco probable con los controles actuales.</t>
  </si>
  <si>
    <t xml:space="preserve">Improbable</t>
  </si>
  <si>
    <t xml:space="preserve">La probabilidad de materialización es extremadamente baja; los controles son altamente efectivos.</t>
  </si>
  <si>
    <t xml:space="preserve">ESCALA DE IMPACTO</t>
  </si>
  <si>
    <t xml:space="preserve">Catastrófico</t>
  </si>
  <si>
    <t xml:space="preserve">La materialización causaría impacto severo e irreversible: sanciones regulatorias mayores, pérdidas masivas, daño reputacional crítico.</t>
  </si>
  <si>
    <t xml:space="preserve">Mayor</t>
  </si>
  <si>
    <t xml:space="preserve">Generaría pérdidas o sanciones significativas, requiriendo intervención inmediata de la alta gerencia y la Junta Directiva.</t>
  </si>
  <si>
    <t xml:space="preserve">Moderado</t>
  </si>
  <si>
    <t xml:space="preserve">Impacto considerable: puede afectar operaciones o comprometer el cumplimiento regulatorio de forma parcial.</t>
  </si>
  <si>
    <t xml:space="preserve">Menor</t>
  </si>
  <si>
    <t xml:space="preserve">Impacto leve; genera correcciones administrativas menores sin afectar operaciones críticas.</t>
  </si>
  <si>
    <t xml:space="preserve">Insignificante</t>
  </si>
  <si>
    <t xml:space="preserve">Impacto mínimo sobre la operación; se resuelve con controles normales sin mayor afectación.</t>
  </si>
  <si>
    <t xml:space="preserve">TABLA DE NIVELES DE RIESGO (P × I)</t>
  </si>
  <si>
    <t xml:space="preserve">CLAVE (PROB:IMP)</t>
  </si>
  <si>
    <t xml:space="preserve">NIVEL DE RIESGO</t>
  </si>
  <si>
    <t xml:space="preserve">PUNTAJE P×I</t>
  </si>
  <si>
    <t xml:space="preserve">5:1</t>
  </si>
  <si>
    <t xml:space="preserve">MEDIO</t>
  </si>
  <si>
    <t xml:space="preserve">5:2</t>
  </si>
  <si>
    <t xml:space="preserve">MEDIO-ALTO</t>
  </si>
  <si>
    <t xml:space="preserve">5:3</t>
  </si>
  <si>
    <t xml:space="preserve">CRÍTICO</t>
  </si>
  <si>
    <t xml:space="preserve">5:4</t>
  </si>
  <si>
    <t xml:space="preserve">5:5</t>
  </si>
  <si>
    <t xml:space="preserve">4:1</t>
  </si>
  <si>
    <t xml:space="preserve">4:2</t>
  </si>
  <si>
    <t xml:space="preserve">4:3</t>
  </si>
  <si>
    <t xml:space="preserve">4:4</t>
  </si>
  <si>
    <t xml:space="preserve">4:5</t>
  </si>
  <si>
    <t xml:space="preserve">3:1</t>
  </si>
  <si>
    <t xml:space="preserve">BAJO</t>
  </si>
  <si>
    <t xml:space="preserve">3:2</t>
  </si>
  <si>
    <t xml:space="preserve">3:3</t>
  </si>
  <si>
    <t xml:space="preserve">3:4</t>
  </si>
  <si>
    <t xml:space="preserve">3:5</t>
  </si>
  <si>
    <t xml:space="preserve">2:1</t>
  </si>
  <si>
    <t xml:space="preserve">2:2</t>
  </si>
  <si>
    <t xml:space="preserve">2:3</t>
  </si>
  <si>
    <t xml:space="preserve">2:4</t>
  </si>
  <si>
    <t xml:space="preserve">2:5</t>
  </si>
  <si>
    <t xml:space="preserve">1:1</t>
  </si>
  <si>
    <t xml:space="preserve">1:2</t>
  </si>
  <si>
    <t xml:space="preserve">1:3</t>
  </si>
  <si>
    <t xml:space="preserve">1:4</t>
  </si>
  <si>
    <t xml:space="preserve">1:5</t>
  </si>
  <si>
    <t xml:space="preserve">OM</t>
  </si>
  <si>
    <t xml:space="preserve">OPT. DE MEJORA</t>
  </si>
  <si>
    <t xml:space="preserve">N/A</t>
  </si>
  <si>
    <t xml:space="preserve">DESCRIPCIÓN DE NIVELES DE RIESGO</t>
  </si>
  <si>
    <t xml:space="preserve">Nivel</t>
  </si>
  <si>
    <t xml:space="preserve">Descripción / Acción Requerida</t>
  </si>
  <si>
    <t xml:space="preserve">Puntaje P×I</t>
  </si>
  <si>
    <t xml:space="preserve">Riesgo aceptable. Controles mínimos son suficientes. Monitoreo semestral.</t>
  </si>
  <si>
    <t xml:space="preserve">1 – 3</t>
  </si>
  <si>
    <t xml:space="preserve">Riesgo manejable. Requiere medidas correctivas (60-90 días). Monitoreo trimestral.</t>
  </si>
  <si>
    <t xml:space="preserve">4 – 6</t>
  </si>
  <si>
    <t xml:space="preserve">Riesgo significativo. Requiere plan de acción formal (30-60 días). Monitoreo mensual.</t>
  </si>
  <si>
    <t xml:space="preserve">8 – 12</t>
  </si>
  <si>
    <t xml:space="preserve">Riesgo inaceptable. Acción inmediata (0-30 días). Reporte obligatorio a JD y Oficial de Cumplimiento.</t>
  </si>
  <si>
    <t xml:space="preserve">15 – 25</t>
  </si>
  <si>
    <t xml:space="preserve">No es hallazgo de incumplimiento. Mejora preventiva o de adecuación normativa prospectiva.</t>
  </si>
  <si>
    <t xml:space="preserve">ASEGURADORA ANCÓN, S.A. – MATRIZ DE RIESGO GSM – EVALUACIÓN INDEPENDIENTE 2024-2025</t>
  </si>
  <si>
    <t xml:space="preserve">Período: 1 julio 2024 – 30 junio 2025  |  Elaborado: José A. Serrano   |  Versión inicial: 02 de abril de 2026  |  Actualizada: octubre de 2026 (corte de evidencia: cuadro de control octubre 2026)</t>
  </si>
  <si>
    <t xml:space="preserve">DESCRIPCIÓN DEL HALLAZGO / OPORTUNIDAD DE MEJORA</t>
  </si>
  <si>
    <t xml:space="preserve">TIPO</t>
  </si>
  <si>
    <t xml:space="preserve">DOCUMENTO(S) AFECTADO(S)</t>
  </si>
  <si>
    <t xml:space="preserve">OBSERVACIÓN / NOTA GSM
(actualizada oct-2026)</t>
  </si>
  <si>
    <t xml:space="preserve">PROBABILIDAD</t>
  </si>
  <si>
    <t xml:space="preserve">PROB.
PUNT.</t>
  </si>
  <si>
    <t xml:space="preserve">IMPACTO</t>
  </si>
  <si>
    <t xml:space="preserve">IMP.
PUNT.</t>
  </si>
  <si>
    <t xml:space="preserve">CALIFIC.
P:I</t>
  </si>
  <si>
    <t xml:space="preserve">COMPONENTE</t>
  </si>
  <si>
    <t xml:space="preserve">BASE NORMATIVA / REFERENCIA</t>
  </si>
  <si>
    <t xml:space="preserve">PUNTAJE
P×I</t>
  </si>
  <si>
    <t xml:space="preserve">PLAN DE ACCIÓN / FASE</t>
  </si>
  <si>
    <t xml:space="preserve">ACCIÓN REQUERIDA SEGÚN NIVEL</t>
  </si>
  <si>
    <t xml:space="preserve">GC-01 · Oficial de Cumplimiento con doble función y sin apoyo profesional. La Oficial de Cumplimiento también dirige el área Legal, rol en el que reporta al Gerente General. El Departamento cuenta con una asistente de apoyo administrativo, pero no con personal profesional para monitoreo, debida diligencia ni gestión de alertas. La SSRP ya había señalado esta situación en la inspección DSR-0924-2023 y no se ha corregido.</t>
  </si>
  <si>
    <t xml:space="preserve">Brecha</t>
  </si>
  <si>
    <t xml:space="preserve">Organigramas sep-2025; Resolución OAL-362; hojas de vida del Departamento; Informe SSRP DSR-0924-2023</t>
  </si>
  <si>
    <t xml:space="preserve">Validado: la asistente administrativa no resuelve la dedicación exclusiva ni la falta de apoyo profesional.</t>
  </si>
  <si>
    <t xml:space="preserve">Gobierno Corporativo</t>
  </si>
  <si>
    <t xml:space="preserve">Acuerdo 03-2022, Arts. 5, 7 (num. 11), 8, 10 (párr. final) y 62 (num. 9, lit. b)</t>
  </si>
  <si>
    <t xml:space="preserve">PA-01</t>
  </si>
  <si>
    <t xml:space="preserve">GC-02 · Sin estudio de capacidad del Departamento de Cumplimiento. No existe un estudio que demuestre que los recursos humanos y tecnológicos de Cumplimiento son suficientes para el volumen de clientes, alertas y debidas diligencias de la aseguradora.</t>
  </si>
  <si>
    <t xml:space="preserve">Organigrama del Departamento de Cumplimiento</t>
  </si>
  <si>
    <t xml:space="preserve">Descripción de puesto pendiente de entrega; no se cuenta con análisis de capacidad.</t>
  </si>
  <si>
    <t xml:space="preserve">Acuerdo 03-2022, Arts. 5 y 62 (num. 9, lit. d)</t>
  </si>
  <si>
    <t xml:space="preserve">PA-25</t>
  </si>
  <si>
    <t xml:space="preserve">GC-03 · Comité sin calendario ni temario y sin actas entre abril 2024 y mayo 2025. El Reglamento permitía sesionar con dos de seis integrantes, incluso sin directores. La convocatoria y la agenda dependían de la Oficial de Cumplimiento, a quien el Comité supervisa, y no existían calendario anual ni temario mínimo. Ancón indica que entre la sesión del 17 de abril de 2024 y la del 28 de mayo de 2025 hubo sesiones de seguimiento sin nuevas aprobaciones, pero sus actas no han sido aportadas, de modo que el mínimo de dos sesiones anuales que el Reglamento fijaba para 2024 no puede verificarse documentalmente.</t>
  </si>
  <si>
    <t xml:space="preserve">AA_GOBCORP03; actas 17-04-2024 y 28-05-2025; Cuadro de Trazabilidad</t>
  </si>
  <si>
    <t xml:space="preserve">Actas II a IV trimestre 2024 pendientes de entrega (sesiones de seguimiento según la aclaración). Ancón indicó que no existen calendario ni temario.</t>
  </si>
  <si>
    <t xml:space="preserve">Reglamento AA_GOBCORP03; Acuerdo 03-2022, Arts. 10 (num. 14) y 11</t>
  </si>
  <si>
    <t xml:space="preserve">PA-12</t>
  </si>
  <si>
    <t xml:space="preserve">GC-04 · Sin informes del Comité a la Junta y autoevaluación sin soporte. El Reglamento no definía periodicidad, formato ni contenido del reporte del Comité a la Junta; no se aportaron informes a la Junta, y Ancón indicó que no existe un informe anual de gestión del Comité. La autoevaluación de octubre de 2025 es un buen comienzo, pero sus 19 respuestas afirmativas no tienen soporte, la hoja de resumen marca 0 % por un error de fórmulas y no está firmada ni fue presentada a la Junta.</t>
  </si>
  <si>
    <t xml:space="preserve">AA_GOBCORP03; autoevaluación del Comité 01-10-2025</t>
  </si>
  <si>
    <t xml:space="preserve">Informes a Junta pendientes de entrega; memorandos a Gerencia: Ancón indicó que no existen.</t>
  </si>
  <si>
    <t xml:space="preserve">Acuerdo 03-2022, Art. 10 (nums. 14 y 15)</t>
  </si>
  <si>
    <t xml:space="preserve">PA-12, PA-26</t>
  </si>
  <si>
    <t xml:space="preserve">GC-05 · Código de Ética incompleto y sin política de partes relacionadas. El Código de Ética (AIN-28-CODETI, noviembre de 2023) existe, pero no incluye un procedimiento para declarar y gestionar conflictos de interés, reglas para operaciones con partes vinculadas, un canal de denuncia confidencial con protección frente a represalias, un responsable de seguimiento ni consecuencias por incumplimiento; además, lo elaboró Auditoría Interna, que luego debe evaluarlo. Ancón indicó que no tiene una política de transacciones con partes relacionadas, y en las entrevistas el personal no identificó un canal de denuncia anónimo.</t>
  </si>
  <si>
    <t xml:space="preserve">AIN-28-CODETI; entrevistas</t>
  </si>
  <si>
    <t xml:space="preserve">Política de partes relacionadas: Ancón indicó que no existe.</t>
  </si>
  <si>
    <t xml:space="preserve">Manual del Sistema de Control Interno, secc. 6.1; Ley 23 de 2015, Art. 57; Acuerdo 03-2022, Art. 15 (num. 8); Recomendación 18 del GAFI</t>
  </si>
  <si>
    <t xml:space="preserve">PA-18</t>
  </si>
  <si>
    <t xml:space="preserve">GC-06 · Debilidades de trazabilidad en documentos de gobierno. El acta de Junta del 20-01-2021 aprueba un reglamento sin identificar código ni versión, no muestra firmas y cita un "Acuerdo 22" que no corresponde; la lista de integrantes del Comité no está al día; el Manual del Sistema de Control Interno V2.0 aún remite a normas de la Superintendencia Financiera de Colombia; y el Manual de RR.HH. no indica quién lo aprobó.</t>
  </si>
  <si>
    <t xml:space="preserve">Acta JD 20-01-2021; AA_GOBCORP03; AIN-28-MSCI-1; GESREHU-1</t>
  </si>
  <si>
    <t xml:space="preserve">Revisado.</t>
  </si>
  <si>
    <t xml:space="preserve">Manual del Sistema de Control Interno, secc. 6.1; Acuerdo 03-2022, Arts. 11 y 14</t>
  </si>
  <si>
    <t xml:space="preserve">PA-22</t>
  </si>
  <si>
    <t xml:space="preserve">GC-07 · Planificación de Auditoría Interna sin enfoque de riesgo explícito. El Plan de Auditoría Interna 2024 no muestra una planificación basada en riesgos ni los elementos formales de aprobación, alcance, recursos y reprogramación de trabajos. Como aspecto positivo, Ancón aportó un informe anual de Auditoría Interna al Departamento de Cumplimiento; recomendamos que la revisión de Cumplimiento quede programada de forma expresa en cada plan anual.</t>
  </si>
  <si>
    <t xml:space="preserve">Planes de Auditoría Interna 2024 y 2025; Informe de Auditoría Interna al Dpto. de Cumplimiento</t>
  </si>
  <si>
    <t xml:space="preserve">Informe de Auditoría Interna al Dpto. de Cumplimiento aportado.</t>
  </si>
  <si>
    <t xml:space="preserve">Ley 23 de 2015, Art. 45; Acuerdo 03-2022, Art. 18</t>
  </si>
  <si>
    <t xml:space="preserve">PA-21</t>
  </si>
  <si>
    <t xml:space="preserve">GC-08 · Sin suplente ni continuidad de la función de prevención. No hay un suplente designado ni un plan que asegure la continuidad de la función de prevención si la Oficial de Cumplimiento se ausenta.</t>
  </si>
  <si>
    <t xml:space="preserve">Organigrama; Manual de Prevención</t>
  </si>
  <si>
    <t xml:space="preserve">No evidenciado.</t>
  </si>
  <si>
    <t xml:space="preserve">Acuerdo 03-2022, Art. 9</t>
  </si>
  <si>
    <t xml:space="preserve">PA-27</t>
  </si>
  <si>
    <t xml:space="preserve">GC-09 · Vacantes en funciones que sostienen el modelo de prevención. Están vacantes o concentradas las posiciones de Oficial de Protección de Datos, Gerencia de Recursos Humanos y una gerencia propia para Emisión.</t>
  </si>
  <si>
    <t xml:space="preserve">Organigrama general; entrevistas</t>
  </si>
  <si>
    <t xml:space="preserve">Confirmado en entrevistas.</t>
  </si>
  <si>
    <t xml:space="preserve">Ley 81 de 2019; Acuerdo 03-2022, Art. 16</t>
  </si>
  <si>
    <t xml:space="preserve">GC-10 · Designación del Oficial sin acta de Junta ni descripción de puesto. Para la designación de la Oficial de Cumplimiento se cuenta con la Resolución OAL-362 de 30 de diciembre de 2022; el acta de Junta Directiva que la designa y la descripción del puesto están pendientes de entrega.</t>
  </si>
  <si>
    <t xml:space="preserve">Resolución OAL-362</t>
  </si>
  <si>
    <t xml:space="preserve">Acta de Junta y descripción de puesto pendientes de entrega.</t>
  </si>
  <si>
    <t xml:space="preserve">Acuerdo 03-2022, Arts. 5 y 8</t>
  </si>
  <si>
    <t xml:space="preserve">GC-11 · Ratificación de la Junta Directiva sin evidencia concluyente. La aclaración de Ancón documenta las aprobaciones del Comité, pero la ratificación por la Junta Directiva del Manual de Prevención, de la matriz de riesgo y de la herramienta de listas no está evidenciada, y las actas de Junta aportadas sobre los Programas 2024 y 2025 y el Informe de Gestión 2024 están sujetas a confirmación con la Oficial de Cumplimiento.</t>
  </si>
  <si>
    <t xml:space="preserve">Aclaración de aprobaciones del Comité; actas de Junta aportadas</t>
  </si>
  <si>
    <t xml:space="preserve">Actas de Junta del Manual, la matriz y la herramienta de listas pendientes de entrega; las demás, sujetas a confirmación.</t>
  </si>
  <si>
    <t xml:space="preserve">Acuerdo 03-2022, Arts. 11, 12, 13, 14 y 15 (aprobación del Comité y ratificación de la Junta)</t>
  </si>
  <si>
    <t xml:space="preserve">PA-10</t>
  </si>
  <si>
    <t xml:space="preserve">PP-01 · Manual describe la consulta en listas solo para alto riesgo. El Manual describe la consulta en listas OFAC y ONU solo para clientes de alto riesgo, aspecto que la SSRP observó en 2022. En la práctica, Ancón aportó evidencia de la herramienta de consulta, de barridos sobre la cartera existente y de pólizas rechazadas o canceladas por coincidencias, por lo que la brecha es principalmente documental: el Manual debe reflejar que el control se aplica a todos.</t>
  </si>
  <si>
    <t xml:space="preserve">MPREMET-21; CONCLI-15; herramienta de listas; constancia de barridos</t>
  </si>
  <si>
    <t xml:space="preserve">Validado con evidencia de barridos del período: el control opera; falta alinear el texto del Manual.</t>
  </si>
  <si>
    <t xml:space="preserve">Políticas y Procedimientos</t>
  </si>
  <si>
    <t xml:space="preserve">Ley 23 de 2015, Art. 49; Acuerdo 03-2022, Arts. 21 (num. 2) y 23 (num. 9)</t>
  </si>
  <si>
    <t xml:space="preserve">PA-06</t>
  </si>
  <si>
    <t xml:space="preserve">PP-02 · Cuadros de control de versiones desactualizados. Los cuadros de control de versiones no reflejan la aprobación efectiva de CONSUREG-10, DPRPASO-19, CONCOMGF-11, CONTUPROV-6 y DPRPAPR-18; DPRPACO-17 muestra una fecha de modificación (2019-11) distinta de su vigencia (2023-05); CAPPCCASC-13 tiene una fila vacía; y la política de capacitación aparece con dos códigos.</t>
  </si>
  <si>
    <t xml:space="preserve">CONSUREG-10; DPRPASO-19; CONCOMGF-11; CONTUPROV-6; DPRPAPR-18; DPRPACO-17; CAPPCCASC-13</t>
  </si>
  <si>
    <t xml:space="preserve">Manual del Sistema de Control Interno, secc. 6.1; Acuerdo 03-2022, Arts. 14 y 15</t>
  </si>
  <si>
    <t xml:space="preserve">PP-03 · Políticas complementarias sin homologar. CONSUREG-10 y DPRPASO-19 difieren en contenido; los glosarios de CONASEM-5 y DPRPACO-17 no definen igual la debida diligencia simplificada y reforzada; y la prueba diagnóstica es obligatoria en una política de capacitación pero no en la otra.</t>
  </si>
  <si>
    <t xml:space="preserve">CONSUREG-10; DPRPASO-19; CONASEM-5; DPRPACO-17; CAPAC-8; CAPPCCASC-13</t>
  </si>
  <si>
    <t xml:space="preserve">Acuerdo 03-2022, Arts. 14 y 15 (párr. final)</t>
  </si>
  <si>
    <t xml:space="preserve">PA-24</t>
  </si>
  <si>
    <t xml:space="preserve">PP-04 · Actualización de colaboradores sin diferenciar por riesgo. La política fija una revisión anual para todos los colaboradores, sin importar su riesgo, por lo que la Matriz de Riesgo de Colaboradores no cambia la frecuencia del control. Además, la Política Conoce a tu Colaborador la emite Legal sin participación de Recursos Humanos, que la ejecuta.</t>
  </si>
  <si>
    <t xml:space="preserve">CONASEM-5; DPRPACO-17</t>
  </si>
  <si>
    <t xml:space="preserve">Revisado; confirmado en entrevistas.</t>
  </si>
  <si>
    <t xml:space="preserve">Ley 23 de 2015, Arts. 26 y 42; Acuerdo 03-2022, Art. 16</t>
  </si>
  <si>
    <t xml:space="preserve">PP-05 · Política de Excepción limitada a la suscripción. La Política de Excepción del Manual solo cubre la suscripción. Valoramos que el Comité ratificara en 2025 la excepción de pagos a terceros por cesión de derechos, pero los criterios, los aprobadores y el registro de los casos aprobados en el pago de siniestros no están documentados en la política.</t>
  </si>
  <si>
    <t xml:space="preserve">MPREMET-21; Cuadro de Trazabilidad; entrevistas</t>
  </si>
  <si>
    <t xml:space="preserve">Ratificación 2025 de la excepción confirmada en el Cuadro de Trazabilidad.</t>
  </si>
  <si>
    <t xml:space="preserve">Acuerdo 03-2022, Arts. 20 y 62 (num. 1)</t>
  </si>
  <si>
    <t xml:space="preserve">PA-15</t>
  </si>
  <si>
    <t xml:space="preserve">PP-06 · Política de Proveedores sin verificación de lo declarado. La Política Conozca a su Proveedor pide el formulario, pero no exige verificar lo declarado (listas, beneficiario final, documentos) según el riesgo del proveedor.</t>
  </si>
  <si>
    <t xml:space="preserve">CONTUPROV-6; DPRPAPR-18</t>
  </si>
  <si>
    <t xml:space="preserve">Catálogo de proveedores activos pendiente de entrega.</t>
  </si>
  <si>
    <t xml:space="preserve">Acuerdo 03-2022, Arts. 10 (num. 13) y 15 (num. 9)</t>
  </si>
  <si>
    <t xml:space="preserve">PP-07 · Política de herramientas tecnológicas desactualizada. GESADHE-12 (v1.0, enero de 2023) es la política más antigua del conjunto; no describe el estado real de DEIVID ni los controles alternativos mientras la automatización no esté lista.</t>
  </si>
  <si>
    <t xml:space="preserve">GESADHE-12</t>
  </si>
  <si>
    <t xml:space="preserve">Acuerdo 03-2022, Arts. 10 (num. 8) y 15 (num. 11)</t>
  </si>
  <si>
    <t xml:space="preserve">PA-13</t>
  </si>
  <si>
    <t xml:space="preserve">PP-08 · Políticas de capacitación sin mínimos medibles. No fijan nota aprobatoria, horas ni contenidos mínimos, indicadores de efectividad ni consecuencias para agentes y canales que incumplan.</t>
  </si>
  <si>
    <t xml:space="preserve">CAPAC-8; CAPPCCASC-13</t>
  </si>
  <si>
    <t xml:space="preserve">Ley 23 de 2015, Art. 47; Acuerdo 03-2022, Arts. 15 (num. 12) y 16</t>
  </si>
  <si>
    <t xml:space="preserve">PP-09 · Restricción del efectivo no incorporada a la política. La restricción de pagos en efectivo en Casa Matriz y Transístmica, vigente desde enero de 2026 (hecho posterior), todavía no está en la política escrita.</t>
  </si>
  <si>
    <t xml:space="preserve">Política de medios de pago; entrevista a Cobros</t>
  </si>
  <si>
    <t xml:space="preserve">Acuerdo 03-2022, Art. 14</t>
  </si>
  <si>
    <t xml:space="preserve">PP-10 · Sin política de dependencia de terceros. Ancón indicó que no cuenta con una política de dependencia de terceros y acuerdos de servicio entre empresas del grupo, que el Acuerdo 03-2022 incluye entre las políticas mínimas, con criterios para prevenir conflictos de interés.</t>
  </si>
  <si>
    <t xml:space="preserve">Cuadro de control de entregables</t>
  </si>
  <si>
    <t xml:space="preserve">Ancón indicó que no existe.</t>
  </si>
  <si>
    <t xml:space="preserve">Acuerdo 03-2022, Art. 15 (num. 8)</t>
  </si>
  <si>
    <t xml:space="preserve">PAC-01 · Evidencia incompleta de remisión y ratificación de los programas. La aprobación del Comité de los programas está documentada en la aclaración de Ancón. Sin embargo, el memorial de remisión del Programa 2024 a la SSRP está pendiente de entrega; para 2025 se cuenta con el correo de remisión, pero no con el sello de recibido; y las ratificaciones de la Junta están sujetas a confirmación.</t>
  </si>
  <si>
    <t xml:space="preserve">Programas y cronogramas 2024-2025; aclaración de aprobaciones; correo de remisión 2025</t>
  </si>
  <si>
    <t xml:space="preserve">Memorial 2024 y sello de recibido 2025 pendientes de entrega.</t>
  </si>
  <si>
    <t xml:space="preserve">Programa Anual de Cumplimiento</t>
  </si>
  <si>
    <t xml:space="preserve">Acuerdo 03-2022, Art. 12</t>
  </si>
  <si>
    <t xml:space="preserve">PAC-02 · Informe combinado del III y IV trimestre de 2024. El seguimiento del III y IV trimestre de 2024 se presentó en un solo informe el 3 de enero de 2025, cubriendo seis meses, más que el plazo máximo de tres meses, y no hay actas que evidencien su conocimiento por el Comité en 2024.</t>
  </si>
  <si>
    <t xml:space="preserve">Informes de seguimiento al Comité 2024-2025</t>
  </si>
  <si>
    <t xml:space="preserve">Cinco informes recibidos y revisados.</t>
  </si>
  <si>
    <t xml:space="preserve">Acuerdo 03-2022, Art. 10 (num. 14)</t>
  </si>
  <si>
    <t xml:space="preserve">PAC-03 · Informe de Gestión 2024 sin acta de aprobación del Comité. Ancón elaboró el Informe de Gestión Anual 2024 con su resumen ejecutivo y el cronograma de cierre, lo que es una buena práctica. El acta del Comité que lo aprueba está pendiente de entrega y su ratificación por la Junta está sujeta a confirmación.</t>
  </si>
  <si>
    <t xml:space="preserve">Informe de Gestión Anual 2024</t>
  </si>
  <si>
    <t xml:space="preserve">Acta de aprobación del Comité pendiente de entrega.</t>
  </si>
  <si>
    <t xml:space="preserve">Acuerdo 03-2022, Art. 13</t>
  </si>
  <si>
    <t xml:space="preserve">PAC-04 · Programa sin indicadores de avance. El programa no tiene indicadores ni un registro de avance por actividad que ayude a la Junta a entender el nivel de exposición.</t>
  </si>
  <si>
    <t xml:space="preserve">Programas y cronogramas 2024-2025</t>
  </si>
  <si>
    <t xml:space="preserve">Acuerdo 03-2022, Arts. 10 (num. 14) y 12</t>
  </si>
  <si>
    <t xml:space="preserve">PA-19</t>
  </si>
  <si>
    <t xml:space="preserve">PAC-05 · Capacitación ejecutada sin constancia individual. Las capacitaciones se realizaron, pero el 81.8 % de los expedientes de colaboradores revisados no tiene constancia, y Fianzas, Tecnología y Atención al Cliente no reciben capacitación especializada para su función.</t>
  </si>
  <si>
    <t xml:space="preserve">Cuadro de capacitaciones 2024-2025; expedientes de colaboradores; entrevistas</t>
  </si>
  <si>
    <t xml:space="preserve">Capacitaciones evidenciadas; constancias individuales incompletas.</t>
  </si>
  <si>
    <t xml:space="preserve">Ley 23 de 2015, Art. 47; Acuerdo 03-2022, Arts. 16 y 61 (num. 5)</t>
  </si>
  <si>
    <t xml:space="preserve">PA-20</t>
  </si>
  <si>
    <t xml:space="preserve">PAC-06 · Seguimiento de hallazgos SSRP no integrado al programa. Ancón preparó una matriz de seguimiento del cierre de hallazgos de la SSRP y de la evaluación independiente anterior, lo que valoramos. Sin embargo, ese seguimiento no está incorporado al Programa Anual como actividades con hitos y evidencia, y varias condiciones observadas en 2022 se mantienen.</t>
  </si>
  <si>
    <t xml:space="preserve">Matriz de seguimiento de cierre de hallazgos (16-01-2026)</t>
  </si>
  <si>
    <t xml:space="preserve">Matriz de seguimiento aportada.</t>
  </si>
  <si>
    <t xml:space="preserve">Acuerdo 03-2022, Arts. 12 y 62 (num. 11)</t>
  </si>
  <si>
    <t xml:space="preserve">PA-02</t>
  </si>
  <si>
    <t xml:space="preserve">MT-01 · Monitoreo transaccional manual sin cronograma de automatización. El monitoreo es manual, mensual y depende del criterio de cada persona. No existe monitoreo automatizado ni un cronograma comprometido para DEIVID, situación que la SSRP observó en 2022 y que se mantiene; por su persistencia, la calificamos con impacto mayor.</t>
  </si>
  <si>
    <t xml:space="preserve">GESADHE-12; DNR Alertas Monitoreos; Informe SSRP 2022</t>
  </si>
  <si>
    <t xml:space="preserve">Cronograma formal de DEIVID pendiente de entrega.</t>
  </si>
  <si>
    <t xml:space="preserve">Monitoreo Transaccional</t>
  </si>
  <si>
    <t xml:space="preserve">Acuerdo 03-2022, Arts. 10 (nums. 8 y 9) y 62 (nums. 10 y 11)</t>
  </si>
  <si>
    <t xml:space="preserve">MT-02 · Requerimientos del sistema de alertas sin aprobar. El documento de requerimientos del sistema de alertas no está aprobado, su plan de pruebas está incompleto y no tiene fecha de implementación.</t>
  </si>
  <si>
    <t xml:space="preserve">DNR Alertas Monitoreos</t>
  </si>
  <si>
    <t xml:space="preserve">MT-03 · Sin listado completo de alertas del período. Ancón aportó una muestra de alerta de monitoreo y registros de alertas de octubre de 2023 a abril de 2024. No se cuenta, en cambio, con un listado completo de las alertas generadas y atendidas entre julio de 2024 y junio de 2025.</t>
  </si>
  <si>
    <t xml:space="preserve">Muestra de alerta; registros de alertas oct-2023 a abr-2024</t>
  </si>
  <si>
    <t xml:space="preserve">Listado completo del período pendiente de entrega.</t>
  </si>
  <si>
    <t xml:space="preserve">Acuerdo 03-2022, Art. 43; D.E. 35 de 2022, Art. 23</t>
  </si>
  <si>
    <t xml:space="preserve">PA-14</t>
  </si>
  <si>
    <t xml:space="preserve">MT-04 · Cierre de alertas sin documentar y sin registro de falsos positivos. No está documentado cómo se analiza y cierra cada alerta (falso positivo, escalamiento o ROS) ni se registran fecha, área, analista, descripción, resultado, aprobador y fecha de cierre. Ancón indicó que no lleva un listado de alertas cerradas como falsos positivos, y no hay reporte consolidado de alertas al Comité.</t>
  </si>
  <si>
    <t xml:space="preserve">Registros de alertas; cuadro de control de entregables</t>
  </si>
  <si>
    <t xml:space="preserve">Listado de falsos positivos: Ancón indicó que no existe.</t>
  </si>
  <si>
    <t xml:space="preserve">Acuerdo 03-2022, Art. 43</t>
  </si>
  <si>
    <t xml:space="preserve">MT-05 · Sin calibración de reglas y detección manual de PEP. No hay una metodología para calibrar reglas y umbrales ni para gestionar falsos positivos; las herramientas AML/CFT no tienen revisión independiente; y la detección de PEP no autodeclarados depende de búsquedas manuales.</t>
  </si>
  <si>
    <t xml:space="preserve">Entrevista a Tecnología; GESADHE-12</t>
  </si>
  <si>
    <t xml:space="preserve">Acuerdo 03-2022, Arts. 10 (num. 18) y 30 (nums. 1 y 5)</t>
  </si>
  <si>
    <t xml:space="preserve">PA-23</t>
  </si>
  <si>
    <t xml:space="preserve">MT-06 · Monitoreo de noticias negativas discontinuo. El monitoreo de noticias negativas tuvo meses sin cobertura, sus reportes omiten datos mínimos y no se cuenta con un procedimiento formal de revisión de noticias.</t>
  </si>
  <si>
    <t xml:space="preserve">Reportes de monitoreo de noticias; Informe SSRP 2022</t>
  </si>
  <si>
    <t xml:space="preserve">Procedimiento formal de noticias pendiente de entrega.</t>
  </si>
  <si>
    <t xml:space="preserve">Acuerdo 03-2022, Art. 10 (num. 9); inspección DSR-0924-2023</t>
  </si>
  <si>
    <t xml:space="preserve">MT-07 · Reclamos sin verificación del perfil de riesgo (R3 y R4). Los riesgos R3 y R4 (tramitar sin verificar el perfil del cliente ni actualizar su debida diligencia) tienen frecuencia MUY ALTA; el riesgo del cliente no activa revisiones adicionales en el pago de siniestros.</t>
  </si>
  <si>
    <t xml:space="preserve">Evaluación de Riesgo de Reclamos v0</t>
  </si>
  <si>
    <t xml:space="preserve">Confirmado en entrevistas a Reclamos.</t>
  </si>
  <si>
    <t xml:space="preserve">Acuerdo 03-2022, Arts. 10 (num. 9), 20 y 30</t>
  </si>
  <si>
    <t xml:space="preserve">MT-08 · Monitoreo de conducta de colaboradores sin indicadores. El monitoreo de conducta de los colaboradores no tiene indicadores sobre alertas generadas y su resultado.</t>
  </si>
  <si>
    <t xml:space="preserve">CONASEM-5</t>
  </si>
  <si>
    <t xml:space="preserve">Acuerdo 03-2022, Art. 16</t>
  </si>
  <si>
    <t xml:space="preserve">DD-01 · Observaciones en el 88.24 % de los expedientes de clientes. Las más frecuentes: CTC ausentes, incompletos, de otro cliente o en versiones anteriores; formularios sin firma o firmados por terceros; perfil financiero, actividad e información tributaria incompletos; preguntas PEP sin responder; identificaciones ausentes, ilegibles, vencidas o de otra persona; consultas en Inspektor y Visor Judicial sin evidencia o hechas sobre otra persona; y un caso verificado después de emitir. En personas jurídicas, certificados de Registro Público vencidos, avisos de operación sin firma, documentos de otra sociedad y aprobaciones especiales faltantes.</t>
  </si>
  <si>
    <t xml:space="preserve">Matriz de revisión de 85 expedientes; CONCLI-15</t>
  </si>
  <si>
    <t xml:space="preserve">Validado con la prueba de expedientes.</t>
  </si>
  <si>
    <t xml:space="preserve">Debida Diligencia</t>
  </si>
  <si>
    <t xml:space="preserve">Ley 23 de 2015, Arts. 26, 27, 28 y 36; D.E. 35 de 2022, Arts. 12, 13, 17 y 18; Acuerdo 03-2022, Arts. 19, 21 a 24 y 62 (nums. 1 y 4)</t>
  </si>
  <si>
    <t xml:space="preserve">PA-07</t>
  </si>
  <si>
    <t xml:space="preserve">DD-02 · Emisión sin perfil de riesgo y canal web con CTC incompleto. Hay clientes sin perfil de riesgo en el sistema (hallazgo crítico de la SSRP en 2022) y ningún bloqueo técnico impide emitir sin ese perfil; en el canal web se emiten pólizas de auto, incendio y multirriesgo con el CTC incompleto, sin control posterior.</t>
  </si>
  <si>
    <t xml:space="preserve">MPREMET-21; CONCLI-15; Informe SSRP 2022; entrevistas</t>
  </si>
  <si>
    <t xml:space="preserve">Validado con la prueba de expedientes y entrevistas.</t>
  </si>
  <si>
    <t xml:space="preserve">Acuerdo 03-2022, Art. 19; D.E. 35 de 2022, Arts. 16 y 29 (num. 1, lit. f)</t>
  </si>
  <si>
    <t xml:space="preserve">PA-05</t>
  </si>
  <si>
    <t xml:space="preserve">DD-03 · Asegurado y beneficiario sin perfil de riesgo propio. El perfil se centra en el contratante o pagador. Al asegurado distinto solo se le recogen documentos, y al beneficiario de reclamos de vida se le pide cédula y CTC, pero no se le perfila ni se le consulta en listas antes de pagarle.</t>
  </si>
  <si>
    <t xml:space="preserve">MPREMET-21; entrevistas a Emisión y Reclamos</t>
  </si>
  <si>
    <t xml:space="preserve">Acuerdo 03-2022, Arts. 20 y 30; Recomendaciones 10 y 12 del GAFI</t>
  </si>
  <si>
    <t xml:space="preserve">DD-04 · Fianzas perfila fuera del módulo institucional. Fianzas perfila a sus clientes por su cuenta, con un enfoque de capacidad financiera, fuera del Módulo de Perfil de Riesgo, lo que limita la trazabilidad y la aplicación uniforme de la metodología.</t>
  </si>
  <si>
    <t xml:space="preserve">Entrevista a Fianzas</t>
  </si>
  <si>
    <t xml:space="preserve">Acuerdo 03-2022, Arts. 11 y 25</t>
  </si>
  <si>
    <t xml:space="preserve">PA-16</t>
  </si>
  <si>
    <t xml:space="preserve">DD-05 · Procedimiento ante coincidencias en listas no interiorizado. Atención al Cliente, punto de primer contacto, no conoce el procedimiento ante una coincidencia en listas, y en algunos expedientes no hay evidencia de la consulta o se hizo sobre otra persona. Aunque los barridos de cartera están evidenciados, esto expone el deber de congelamiento preventivo.</t>
  </si>
  <si>
    <t xml:space="preserve">Herramienta de listas; constancia de barridos; entrevistas</t>
  </si>
  <si>
    <t xml:space="preserve">Barridos evidenciados; procedimiento ante coincidencias por formalizar.</t>
  </si>
  <si>
    <t xml:space="preserve">Ley 23 de 2015, Art. 49; D.E. 35 de 2022, Art. 29 (num. 1, lit. d); Acuerdo 03-2022, Art. 21 (num. 2)</t>
  </si>
  <si>
    <t xml:space="preserve">DD-06 · Aprobaciones especiales faltantes en expedientes. La SSRP observó en 2022 aprobaciones especiales vencidas o sin soporte, y en la prueba de expedientes de personas jurídicas encontramos aprobaciones especiales faltantes. Conviene que el listado de clientes con documentación pendiente registre el motivo de cada excepción, su responsable y su fecha límite de subsanación.</t>
  </si>
  <si>
    <t xml:space="preserve">Matriz de expedientes; Informe SSRP 2022; listado de clientes con documentación pendiente</t>
  </si>
  <si>
    <t xml:space="preserve">Acuerdo 03-2022, Art. 19</t>
  </si>
  <si>
    <t xml:space="preserve">DD-07 · Enfoque basado en riesgo no interiorizado en el área comercial. En la Gerencia Comercial de Casa Matriz se aplica la misma diligencia a todos los clientes ("a todos les buscamos lo mismo").</t>
  </si>
  <si>
    <t xml:space="preserve">Entrevistas</t>
  </si>
  <si>
    <t xml:space="preserve">Ley 23 de 2015, Art. 26; D.E. 35 de 2022, Art. 7</t>
  </si>
  <si>
    <t xml:space="preserve">DD-08 · Conoce a tu Colaborador desactualizado. El nivel de riesgo del colaborador está desactualizado en el 96.7 % de la muestra (mayoría cercana a 20 meses), con brechas en constancias de capacitación, evaluaciones de desempeño, contratos y Reglamento Interno (ver tabla).</t>
  </si>
  <si>
    <t xml:space="preserve">Análisis de 33 expedientes de colaboradores; CONASEM-5</t>
  </si>
  <si>
    <t xml:space="preserve">Ley 23 de 2015, Art. 42; Acuerdo 03-2022, Arts. 16 y 62 (num. 14); D.E. 35, Art. 29 (num. 2, lit. b)</t>
  </si>
  <si>
    <t xml:space="preserve">PA-08</t>
  </si>
  <si>
    <t xml:space="preserve">ER-01 · Matrices BC/FT/FPADM sin copia aportada y sin evaluación institucional integrada. Las matrices de clientes, colaboradores, proveedores y zonas geográficas, su metodología y el acta de Junta que las aprueba están pendientes de entrega, y no se cuenta con una evaluación institucional que integre esos factores con riesgo inherente, controles y riesgo residual. Sin esa evidencia, el hallazgo crítico de la SSRP de 2022 no puede darse por cerrado.</t>
  </si>
  <si>
    <t xml:space="preserve">Informe SSRP 2022; aclaración de aprobaciones del Comité</t>
  </si>
  <si>
    <t xml:space="preserve">Aprobadas por el Comité según la aclaración; copias y acta de Junta pendientes de entrega. Recalificable al aportarse.</t>
  </si>
  <si>
    <t xml:space="preserve">Evaluación de Riesgo AML</t>
  </si>
  <si>
    <t xml:space="preserve">Ley 23 de 2015, Art. 26; D.E. 35 de 2022, Art. 7; Acuerdo 03-2022, Arts. 10 (nums. 4 a 6), 11, 17 y 62 (num. 3)</t>
  </si>
  <si>
    <t xml:space="preserve">PA-09</t>
  </si>
  <si>
    <t xml:space="preserve">ER-02 · Evaluaciones por proceso posteriores al período y en borrador. Las evaluaciones de Emisión y Reclamos son de julio de 2025, posteriores al cierre del período; la de Reclamos es un borrador y no consta la aprobación de la de Emisión.</t>
  </si>
  <si>
    <t xml:space="preserve">Evaluación de Riesgo de Emisión v2; Evaluación de Riesgo de Reclamos v0</t>
  </si>
  <si>
    <t xml:space="preserve">Estatus de aprobación por confirmar.</t>
  </si>
  <si>
    <t xml:space="preserve">Acuerdo 03-2022, Art. 17</t>
  </si>
  <si>
    <t xml:space="preserve">PA-17</t>
  </si>
  <si>
    <t xml:space="preserve">ER-03 · Impacto subestimado en R3 y R4. Calificar con impacto MUY BAJO los riesgos R3 y R4, de frecuencia MUY ALTA, subestima el riesgo regulatorio y oculta que el control no está funcionando.</t>
  </si>
  <si>
    <t xml:space="preserve">Acuerdo 03-2022, Arts. 4 (num. 14) y 11</t>
  </si>
  <si>
    <t xml:space="preserve">ER-04 · Canal web sin evaluación de riesgo previa. No se cuenta con evidencia de la evaluación de riesgo previa al lanzamiento del canal de autoservicio web.</t>
  </si>
  <si>
    <t xml:space="preserve">Entrevistas a Comercialización</t>
  </si>
  <si>
    <t xml:space="preserve">Acuerdo 03-2022, Arts. 10 (num. 7) y 11</t>
  </si>
  <si>
    <t xml:space="preserve">PA-31</t>
  </si>
  <si>
    <t xml:space="preserve">ER-05 · Evaluación de riesgo sin incorporar resultados de supervisión. No hay evidencia de que la evaluación recoja los resultados del monitoreo, de las auditorías, de evaluaciones independientes y de los hallazgos de la SSRP.</t>
  </si>
  <si>
    <t xml:space="preserve">Evaluaciones de riesgo por proceso</t>
  </si>
  <si>
    <t xml:space="preserve">Acuerdo 03-2022, Art. 17 (párr. 2)</t>
  </si>
  <si>
    <t xml:space="preserve">RR-01 · Sin ROS en el período ni registro de operaciones inusuales. La ausencia de ROS no es en sí misma un incumplimiento, pero no se cuenta con un registro de operaciones inusuales que deje constancia del análisis, del responsable, del sustento y de la decisión de no reportar; la entidad no puede demostrar que esa ausencia responde a un análisis y no a fallas de detección.</t>
  </si>
  <si>
    <t xml:space="preserve">MPREMET-21; Informe SSRP 2022; listado de ROS del período</t>
  </si>
  <si>
    <t xml:space="preserve">Según Ancón, no se generaron ROS en el período.</t>
  </si>
  <si>
    <t xml:space="preserve">Reportes Regulatorios</t>
  </si>
  <si>
    <t xml:space="preserve">Ley 23 de 2015, Art. 54; D.E. 35 de 2022, Arts. 23 y 25; Acuerdo 03-2022, Arts. 43, 44 y 62 (nums. 5 y 10)</t>
  </si>
  <si>
    <t xml:space="preserve">PA-04</t>
  </si>
  <si>
    <t xml:space="preserve">RR-02 · Caso de Fianzas 2024 no escalado a Cumplimiento. Declinar una operación no reemplaza el reporte interno: la obligación incluye las tentativas, y sin ese reporte Cumplimiento no pudo evaluar si correspondía un ROS.</t>
  </si>
  <si>
    <t xml:space="preserve">Pendiente análisis y decisión documentada por Cumplimiento.</t>
  </si>
  <si>
    <t xml:space="preserve">Ley 23 de 2015, Art. 54; D.E. 35 de 2022, Arts. 25 y 29 (num. 1, lit. e); Acuerdo 03-2022, Arts. 43, 44 y 63 (num. 1)</t>
  </si>
  <si>
    <t xml:space="preserve">PA-03</t>
  </si>
  <si>
    <t xml:space="preserve">RR-03 · Sin procedimiento formal de ROS. No hay un procedimiento con criterios, plazos, formato, revisión de calidad antes del envío y registro de las decisiones de no reportar.</t>
  </si>
  <si>
    <t xml:space="preserve">MPREMET-21</t>
  </si>
  <si>
    <t xml:space="preserve">Acuerdo 03-2022, Art. 44</t>
  </si>
  <si>
    <t xml:space="preserve">RR-04 · Condiciones observadas por la SSRP en 2022 aún abiertas. Ancón aportó una matriz de seguimiento del cierre de hallazgos, lo que es un paso positivo. Las pruebas de esta evaluación, sin embargo, muestran que las condiciones de fondo observadas por la SSRP —registro de ROS, matriz BC/FT/FPADM, estructura de Cumplimiento, perfiles de riesgo y monitoreo— siguen total o parcialmente abiertas, y no hay evidencia de comunicaciones de seguimiento con la SSRP.</t>
  </si>
  <si>
    <t xml:space="preserve">Matriz de seguimiento de cierre de hallazgos; Informe SSRP 2022</t>
  </si>
  <si>
    <t xml:space="preserve">Matriz de seguimiento aportada; las pruebas muestran condiciones aún abiertas.</t>
  </si>
  <si>
    <t xml:space="preserve">Acuerdo 03-2022, Arts. 59 (nums. 1 y 4) y 62 (num. 11)</t>
  </si>
  <si>
    <t xml:space="preserve">RR-05 · Reportes de efectivo del período no evidenciados. Los reportes de efectivo y cuasi efectivo enviados a la UAF durante el período, que debían presentarse dentro de los cinco primeros días hábiles de cada mes, están pendientes de entrega.</t>
  </si>
  <si>
    <t xml:space="preserve">Pendientes de entrega.</t>
  </si>
  <si>
    <t xml:space="preserve">Ley 23 de 2015, Art. 53; D.E. 35 de 2022, Art. 24; Acuerdo 03-2022, Art. 42</t>
  </si>
  <si>
    <t xml:space="preserve">PA-11</t>
  </si>
  <si>
    <t xml:space="preserve">RR-06 · Sin control centralizado de reportes a la SSRP. Hay remisiones puntuales documentadas, pero no se evidencia un control centralizado de reportes y cuestionarios a la SSRP con aprobación previa del Comité.</t>
  </si>
  <si>
    <t xml:space="preserve">Memorial Informe de Gestión 2023; correo de remisión Programa 2025</t>
  </si>
  <si>
    <t xml:space="preserve">Remisiones puntuales evidenciadas.</t>
  </si>
  <si>
    <t xml:space="preserve">Acuerdo 03-2022, Arts. 10 (num. 21), 12 y 13</t>
  </si>
  <si>
    <t xml:space="preserve">CD-01 · Aplicación de la política de conservación sin evidencia operativa. La política existe, pero no se aportaron el inventario de repositorios, los plazos aplicados por tipo de documento ni pruebas de recuperación, por lo que no puede confirmarse que los registros se conserven al menos cinco años desde que termina la relación ni que las operaciones puedan reconstruirse.</t>
  </si>
  <si>
    <t xml:space="preserve">Política de conservación de documentos; aclaración de aprobaciones</t>
  </si>
  <si>
    <t xml:space="preserve">Inventario y pruebas de recuperación pendientes de entrega.</t>
  </si>
  <si>
    <t xml:space="preserve">Conservación de Documentos</t>
  </si>
  <si>
    <t xml:space="preserve">Ley 23 de 2015, Art. 29; D.E. 35 de 2022, Arts. 20 y 24; Acuerdo 03-2022, Arts. 15 (num. 13), 33 y 42</t>
  </si>
  <si>
    <t xml:space="preserve">PA-28</t>
  </si>
  <si>
    <t xml:space="preserve">CD-02 · Integridad de expedientes comprometida. Los expedientes de clientes contienen documentos ilegibles, vencidos, de otras personas o sociedades y formularios en versiones anteriores; los de colaboradores carecen de contratos y constancias.</t>
  </si>
  <si>
    <t xml:space="preserve">Matriz de expedientes de clientes; análisis de expedientes de colaboradores</t>
  </si>
  <si>
    <t xml:space="preserve">Validado con las pruebas de expedientes.</t>
  </si>
  <si>
    <t xml:space="preserve">D.E. 35 de 2022, Art. 20; Acuerdo 03-2022, Art. 33</t>
  </si>
  <si>
    <t xml:space="preserve">CD-03 · Registros de alertas en hojas de cálculo y sin respaldo evidenciado. Las alertas se registran en hojas de cálculo sin control de versiones, y no hay evidencia de copia de seguridad del registro de operaciones en efectivo.</t>
  </si>
  <si>
    <t xml:space="preserve">Registros de alertas</t>
  </si>
  <si>
    <t xml:space="preserve">Acuerdo 03-2022, Art. 62 (num. 2, lit. d)</t>
  </si>
  <si>
    <t xml:space="preserve">CD-04 · Expediente de gobierno incompleto. Hay actas sin firma y las actas del Comité de los trimestres II a IV de 2024 están pendientes de entrega.</t>
  </si>
  <si>
    <t xml:space="preserve">Actas de Junta y del Comité</t>
  </si>
  <si>
    <t xml:space="preserve">Actas pendientes de entrega.</t>
  </si>
  <si>
    <t xml:space="preserve">Acuerdo 03-2022, Arts. 11 y 17</t>
  </si>
  <si>
    <t xml:space="preserve">CD-05 · Controles DLP sin reportes a Cumplimiento. No se cuenta con evidencia de que los controles DLP generen reportes a la Oficial, y la vacante del Oficial de Protección de Datos dificulta equilibrar conservación y protección de datos.</t>
  </si>
  <si>
    <t xml:space="preserve">RESYCON-7</t>
  </si>
  <si>
    <t xml:space="preserve">Acuerdo 03-2022, Art. 15 (num. 10); Ley 81 de 2019</t>
  </si>
  <si>
    <t xml:space="preserve">OM-01 · Verificación integral de expedientes de intermediarios (Grupo B) y reaseguradoras. Confirmar que los expedientes de corredores, agencias y reaseguradoras estén al día conforme a los plazos bienal y anual de CONSUREG-10.</t>
  </si>
  <si>
    <t xml:space="preserve">Oportunidad de Mejora</t>
  </si>
  <si>
    <t xml:space="preserve">POL-CUM-27-CONSUREG-10</t>
  </si>
  <si>
    <t xml:space="preserve">Revisión puntual antes del cierre de año (PA-30).</t>
  </si>
  <si>
    <t xml:space="preserve">Período 2024-2025</t>
  </si>
  <si>
    <t xml:space="preserve">Acuerdo 03-2022 (buena práctica)</t>
  </si>
  <si>
    <t xml:space="preserve">Período</t>
  </si>
  <si>
    <t xml:space="preserve">OM-02 · Procedimiento formal de control de cambios normativos. Asegurar que las referencias regulatorias de todos los documentos se actualicen cuando entre en vigor una nueva norma de la SSRP u otro regulador.</t>
  </si>
  <si>
    <t xml:space="preserve">Marco normativo institucional</t>
  </si>
  <si>
    <t xml:space="preserve">Diseñar alertas normativas con responsables y plazos (PA-22).</t>
  </si>
  <si>
    <t xml:space="preserve">OM-03 · Validación de la metodología de clasificación de riesgo del cliente. Confirmar que la metodología incluya todas las variables del Acuerdo 03-2022 (transferencias, origen y fuente de recursos, canales) y la periodicidad de actualización por riesgo.</t>
  </si>
  <si>
    <t xml:space="preserve">MPREMET-21; CONCLI-15</t>
  </si>
  <si>
    <t xml:space="preserve">Entregar la metodología para su revisión (PA-09).</t>
  </si>
  <si>
    <t xml:space="preserve">RM-01 · Adecuación del Manual y las políticas (Arts. 10, 11, 46 y 47). Confirmar que la versión vigente del Manual y de cada política ya incorpora el Acuerdo 07-2025, con aprobación del Comité y ratificación de la Junta. Si quedara algún documento pendiente, cerrarlo en una sesión extraordinaria apoyada en una matriz de brechas.</t>
  </si>
  <si>
    <t xml:space="preserve">GC / PP</t>
  </si>
  <si>
    <t xml:space="preserve">Qué cambia: El Acuerdo rige desde el 10-12-2025 y dio 60 días para adecuar manuales y controles; deroga parcialmente el Acuerdo 03-2022 para el Grupo A. Situación en Ancón: Los documentos revisados del período citan el Acuerdo 03-2022, como correspondía. Las entrevistas mencionan un Manual v4.0.</t>
  </si>
  <si>
    <t xml:space="preserve">Hoja de ruta Acuerdo 07-2025</t>
  </si>
  <si>
    <t xml:space="preserve">Acuerdo SSRP 07-2025 (fuera del alcance; valor agregado)</t>
  </si>
  <si>
    <t xml:space="preserve">Fase 1</t>
  </si>
  <si>
    <t xml:space="preserve">RM-02 · Nombramiento del Oficial de Cumplimiento (Arts. 4 y 6). Diseñar la separación de funciones bajo este estándar y preparar el expediente del perfil para la SSRP si cambia el titular.</t>
  </si>
  <si>
    <t xml:space="preserve">GC</t>
  </si>
  <si>
    <t xml:space="preserve">Qué cambia: Notificación a la SSRP 15 días calendario antes del nombramiento para su aprobación; el candidato debe dejar cualquier función incompatible. Situación en Ancón: Oficial con doble función Cumplimiento/Legal (GC-01).</t>
  </si>
  <si>
    <t xml:space="preserve">RM-03 · Informes trimestrales a Comité y Junta (Art. 7, lit. h). Calendarizar cuatro informes al año con un contenido estándar: avance del programa, alertas y ROS, riesgos, capacitación y observaciones.</t>
  </si>
  <si>
    <t xml:space="preserve">Qué cambia: La periodicidad pasa a ser trimestral fija. Situación en Ancón: Informe combinado del III y IV trimestre de 2024 (PAC-02); sin informes del Comité a la Junta (GC-04).</t>
  </si>
  <si>
    <t xml:space="preserve">RM-04 · Programa de Cumplimiento (Art. 9). Estructurar el Programa 2027 con los nueve contenidos mínimos y un tablero de indicadores, y aprobarlo antes del 30 de enero de 2027.</t>
  </si>
  <si>
    <t xml:space="preserve">PAC</t>
  </si>
  <si>
    <t xml:space="preserve">Qué cambia: Contenido mínimo definido (literales a a i), alcance de grupo y remisión a la SSRP en los primeros 30 días del año. Situación en Ancón: Programa 2025 remitido a la SSRP; sin indicadores de avance (PAC-04).</t>
  </si>
  <si>
    <t xml:space="preserve">Fase 2</t>
  </si>
  <si>
    <t xml:space="preserve">RM-05 · Políticas mínimas (Art. 11). Mantener las políticas actuales como buena práctica y verificar que la de reaseguro cumpla el lit. b; aprobarlas en Comité y ratificarlas en Junta.</t>
  </si>
  <si>
    <t xml:space="preserve">PP</t>
  </si>
  <si>
    <t xml:space="preserve">Qué cambia: Cinco políticas mínimas, incluida una de debida diligencia sobre relaciones de reaseguro. Situación en Ancón: Ancón ya cuenta con un conjunto más amplio de políticas (fortaleza).</t>
  </si>
  <si>
    <t xml:space="preserve">RM-06 · Evaluación de riesgo y apetito (Arts. 8 y 12). Construir la matriz institucional de una vez bajo este estándar y acompañarla de una declaración de apetito de riesgo aprobada por la Junta, con límites e indicadores.</t>
  </si>
  <si>
    <t xml:space="preserve">ER</t>
  </si>
  <si>
    <t xml:space="preserve">Qué cambia: Las medidas de control deben responder al apetito de riesgo; la evaluación se hace con la periodicidad que fije el Manual y debe estar disponible para la SSRP. Situación en Ancón: Matrices por factor referidas como aprobadas, no entregadas; sin evaluación institucional ni apetito de riesgo (ER-01).</t>
  </si>
  <si>
    <t xml:space="preserve">RM-07 · Variables de riesgo del cliente (Art. 23). Incluir las once variables del Art. 23 en el Módulo de Perfil de Riesgo y documentarlas en la metodología.</t>
  </si>
  <si>
    <t xml:space="preserve">Qué cambia: Incorpora la residencia fiscal y exige escala alto, medio y bajo descrita en la metodología. Situación en Ancón: Metodología de clasificación del cliente no entregada para revisión.</t>
  </si>
  <si>
    <t xml:space="preserve">RM-08 · Debida diligencia simplificada (Art. 15). Parametrizar en el sistema que estos productos no puedan recibir debida diligencia simplificada y llevar Fianzas al módulo institucional.</t>
  </si>
  <si>
    <t xml:space="preserve">DD</t>
  </si>
  <si>
    <t xml:space="preserve">Qué cambia: No se permite en vida individual con ahorro, fianzas ni productos con devolución de prima. Situación en Ancón: Fianzas perfila fuera del módulo institucional (DD-04).</t>
  </si>
  <si>
    <t xml:space="preserve">RM-09 · Personas jurídicas y beneficiario final (Arts. 16 y 18). Actualizar el CTC de persona jurídica con los campos del Art. 16 y un control de vigencia de certificados.</t>
  </si>
  <si>
    <t xml:space="preserve">Qué cambia: Lista de datos mínimos (incluidos estados financieros o declaración de renta), beneficiario final desde 10 % y abstención si persiste la duda. Situación en Ancón: Documentación societaria incompleta o vencida (DD-01).</t>
  </si>
  <si>
    <t xml:space="preserve">RM-10 · Debida diligencia ampliada (Art. 17). Configurar disparadores automáticos de debida diligencia ampliada para cada supuesto del Art. 17.</t>
  </si>
  <si>
    <t xml:space="preserve">Qué cambia: Supuestos obligatorios: efectivo de B/.10,000 o más sin justificación, vida con ahorro, PEP, jurisdicciones de riesgo y bienes de doble uso. Situación en Ancón: Sin activación automática por riesgo (MT-07).</t>
  </si>
  <si>
    <t xml:space="preserve">RM-11 · Personas expuestas políticamente (Arts. 19 y 20). Ajustar el flujo de aprobación de PEP para que lo firme el Gerente General y automatizar la detección.</t>
  </si>
  <si>
    <t xml:space="preserve">Qué cambia: La aprobación de la relación corresponde al Gerente General; se prohíbe el trato discriminatorio. Situación en Ancón: Detección de PEP no autodeclarados manual (MT-05).</t>
  </si>
  <si>
    <t xml:space="preserve">RM-12 · Perfil financiero del contratante y pagador (Art. 21). Hacer obligatorios estos campos en el CTC y validarlos antes de emitir.</t>
  </si>
  <si>
    <t xml:space="preserve">Qué cambia: Debe considerar patrimonio e ingresos fijos y variables del contratante o de quien paga la prima. Situación en Ancón: Perfil financiero incompleto en expedientes (DD-01).</t>
  </si>
  <si>
    <t xml:space="preserve">RM-13 · Jurisdicciones de riesgo (Art. 22). Mantener una lista de países de riesgo actualizada trimestralmente e integrada al perfil del cliente.</t>
  </si>
  <si>
    <t xml:space="preserve">Qué cambia: Se consideran sanciones de la UE, Reino Unido, ONU y EE. UU., y las jurisdicciones señaladas por el GAFI. Situación en Ancón: Barridos evidenciados; procedimiento ante coincidencias por formalizar (DD-05).</t>
  </si>
  <si>
    <t xml:space="preserve">RM-14 · Nuevos productos y tecnologías (Art. 7, lit. c). Incorporar un formulario de evaluación de riesgo obligatorio en el proceso de aprobación de productos y canales.</t>
  </si>
  <si>
    <t xml:space="preserve">Qué cambia: Evaluación de riesgo previa al lanzamiento. Situación en Ancón: Canal web sin evaluación previa documentada (ER-04).</t>
  </si>
  <si>
    <t xml:space="preserve">Fase 3</t>
  </si>
  <si>
    <t xml:space="preserve">RM-15 · Reportes de efectivo (Art. 24). Ajustar el procedimiento al nuevo plazo y evaluar si la restricción del efectivo justifica pasar al régimen semestral o a la declaración jurada, comunicándolo a la UAF.</t>
  </si>
  <si>
    <t xml:space="preserve">RR</t>
  </si>
  <si>
    <t xml:space="preserve">Qué cambia: Plazo de 10 días hábiles (antes 5); régimen semestral para operaciones ocasionales y declaración jurada si no hay operaciones. Situación en Ancón: Restricción del efectivo desde enero de 2026 (PP-09).</t>
  </si>
  <si>
    <t xml:space="preserve">RM-16 · Operaciones inusuales y sospechosas (Arts. 25 y 26). Diseñar el registro único y el procedimiento de ROS directamente con este estándar.</t>
  </si>
  <si>
    <t xml:space="preserve">RR / MT</t>
  </si>
  <si>
    <t xml:space="preserve">Qué cambia: Constancia de cada operación inusual con su responsable y decisión; notificación inmediata del ROS. Situación en Ancón: Sin ROS en el período y sin registro de inusuales (RR-01); caso Fianzas 2024 (RR-02).</t>
  </si>
  <si>
    <t xml:space="preserve">RM-17 · Reportes a la SSRP (Art. 7, lit. l). Incluir esta aprobación en el calendario regulatorio y en el temario del Comité.</t>
  </si>
  <si>
    <t xml:space="preserve">Qué cambia: Todo reporte o cuestionario a la SSRP requiere aprobación previa del Comité. Situación en Ancón: Sin control centralizado (RR-06).</t>
  </si>
  <si>
    <t xml:space="preserve">RM-18 · Auditoría interna (Art. 8). Incluir en el plan anual una revisión de Cumplimiento y de las herramientas AML/CFT.</t>
  </si>
  <si>
    <t xml:space="preserve">Qué cambia: Procedimientos continuos de Auditoría Interna sobre la efectividad del sistema de prevención. Situación en Ancón: Plan 2025 sin revisión de Cumplimiento (GC-07).</t>
  </si>
  <si>
    <t xml:space="preserve">RM-19 · Régimen sancionatorio (Arts. 37 a 43). Presentar a la Junta un mapa de tipificaciones del nuevo régimen y usarlo para priorizar el plan de acción.</t>
  </si>
  <si>
    <t xml:space="preserve">Transversal</t>
  </si>
  <si>
    <t xml:space="preserve">Qué cambia: Tipifica expresamente, entre otras, la falta de exclusividad del Oficial (gravedad media) y la emisión de una póliza a quien no facilite la debida diligencia ampliada (gravedad máxima). Situación en Ancón: Varias de estas conductas aparecen en los hallazgos del período.</t>
  </si>
  <si>
    <t xml:space="preserve">RM-20 · Capacitación y divulgación (Arts. 7, lits. b e i; 41, lit. d). Incluir un módulo sobre el Acuerdo 07-2025 para Junta, Gerencia y áreas sensibles, con constancia individual.</t>
  </si>
  <si>
    <t xml:space="preserve">Qué cambia: Programa anual para colaboradores, Oficial de Cumplimiento y Gerente General; divulgación de la normativa a todo el personal. Situación en Ancón: Capacitaciones ejecutadas; constancias individuales incompletas (PAC-05).</t>
  </si>
  <si>
    <t xml:space="preserve">RM-21 · Evaluación independiente (Ley 23, Art. 45). Mantener la evaluación independiente al menos cada dos años como buena práctica y programar la próxima con alcance sobre el Acuerdo 07-2025.</t>
  </si>
  <si>
    <t xml:space="preserve">Qué cambia: El Acuerdo 07-2025 no la regula expresamente para el Grupo A; sigue rigiendo la Ley 23. Situación en Ancón: Esta evaluación cubre el período 2024-2025.</t>
  </si>
  <si>
    <t xml:space="preserve">RM-22 · Señales de alerta (Art. 47). Adoptar formalmente, por acuerdo del Comité, el catálogo de tipologías de la UAF como referencia y mantener actualizado cada año el catálogo propio por línea de negocio.</t>
  </si>
  <si>
    <t xml:space="preserve">MT / PP</t>
  </si>
  <si>
    <t xml:space="preserve">Qué cambia: Se deroga el Acuerdo 02-2015, que contenía el catálogo oficial de señales de alerta. Situación en Ancón: Ancón tiene catálogo propio 2025 y en la evaluación se utilizó el catálogo de tipologías de la UAF.</t>
  </si>
  <si>
    <t xml:space="preserve">RM-23 · Conservación y respaldo (Arts. 24 y 42, lit. a). Incluir estos requisitos en la política de conservación y probar la recuperación una vez al año.</t>
  </si>
  <si>
    <t xml:space="preserve">CD</t>
  </si>
  <si>
    <t xml:space="preserve">Qué cambia: Conservación de formularios y soportes por al menos cinco años y copia de seguridad del registro de efectivo. Situación en Ancón: Sin respaldo evidenciado (CD-03).</t>
  </si>
  <si>
    <t xml:space="preserve">RM-24 · Planes de actualización de expedientes (Art. 7, lits. f y g). Formalizar ambos planes con metas trimestrales y reportarlos en el informe trimestral.</t>
  </si>
  <si>
    <t xml:space="preserve">PAC / DD</t>
  </si>
  <si>
    <t xml:space="preserve">Qué cambia: Planes de actualización de clientes con operaciones inconsistentes y de colaboradores, con informe a Comité y Junta. Situación en Ancón: Expedientes de colaboradores desactualizados (DD-08).</t>
  </si>
  <si>
    <t xml:space="preserve">MAPA DE RIESGO – ASEGURADORA ANCÓN, S.A. (Probabilidad × Impacto)</t>
  </si>
  <si>
    <t xml:space="preserve">Los valores de cada celda son generados automáticamente desde la hoja Riesgos  |  COUNTIF(Riesgos!$I$4:$I$120)  |  Evaluación Independiente 2024-2025 (actualizada octubre 2026)</t>
  </si>
  <si>
    <t xml:space="preserve">PROBABILIDAD ↓  /  IMPACTO →</t>
  </si>
  <si>
    <t xml:space="preserve">1
Insignificante</t>
  </si>
  <si>
    <t xml:space="preserve">2
Menor</t>
  </si>
  <si>
    <t xml:space="preserve">3
Moderado</t>
  </si>
  <si>
    <t xml:space="preserve">4
Mayor</t>
  </si>
  <si>
    <t xml:space="preserve">5
Catastrófico</t>
  </si>
  <si>
    <t xml:space="preserve">5  Frecuente</t>
  </si>
  <si>
    <t xml:space="preserve">4  Probable</t>
  </si>
  <si>
    <t xml:space="preserve">3  Ocasional</t>
  </si>
  <si>
    <t xml:space="preserve">2  Posible</t>
  </si>
  <si>
    <t xml:space="preserve">1  Improbable</t>
  </si>
  <si>
    <t xml:space="preserve">Score</t>
  </si>
  <si>
    <t xml:space="preserve">LEYENDA DE NIVELES DE RIESGO</t>
  </si>
  <si>
    <t xml:space="preserve">P×I ≥ 15</t>
  </si>
  <si>
    <t xml:space="preserve">Acción inmediata (0-30 días). Reporte obligatorio a Junta Directiva y Oficial de Cumplimiento.</t>
  </si>
  <si>
    <t xml:space="preserve">P×I 8-12</t>
  </si>
  <si>
    <t xml:space="preserve">Plan de acción formal (30-60 días). Monitoreo mensual.</t>
  </si>
  <si>
    <t xml:space="preserve">P×I 4-6</t>
  </si>
  <si>
    <t xml:space="preserve">Medidas correctivas (60-90 días). Monitoreo trimestral.</t>
  </si>
  <si>
    <t xml:space="preserve">P×I 1-3</t>
  </si>
  <si>
    <t xml:space="preserve">Riesgo aceptable con controles mínimos. Monitoreo semestral.</t>
  </si>
  <si>
    <t xml:space="preserve">No es hallazgo de incumplimiento. Mejora preventiva o adecuación normativa prospectiva.</t>
  </si>
  <si>
    <t xml:space="preserve">RESUMEN – BRECHAS Y OPORTUNIDADES DE MEJORA  (Período: julio 2024 – junio 2025)</t>
  </si>
  <si>
    <t xml:space="preserve">Brechas CRÍTICAS</t>
  </si>
  <si>
    <t xml:space="preserve">Brechas MEDIO-ALTO</t>
  </si>
  <si>
    <t xml:space="preserve">Brechas MEDIAS</t>
  </si>
  <si>
    <t xml:space="preserve">Brechas BAJAS</t>
  </si>
  <si>
    <t xml:space="preserve">Oportunidades de Mejora</t>
  </si>
  <si>
    <t xml:space="preserve">TOTAL HALLAZGOS (Brechas)</t>
  </si>
  <si>
    <t xml:space="preserve">TOTAL REGISTROS EN MATRIZ</t>
  </si>
  <si>
    <t xml:space="preserve">RESUMEN POR COMPONENTE – BRECHAS DEL PERÍODO (julio 2024 – junio 2025)</t>
  </si>
  <si>
    <t xml:space="preserve">Componente</t>
  </si>
  <si>
    <t xml:space="preserve">TOTAL</t>
  </si>
  <si>
    <t xml:space="preserve">Nota: las oportunidades de mejora (OM) no se califican como brechas. Las RM corresponden a la hoja de ruta hacia el Acuerdo SSRP 07-2025, que está fuera del alcance de la evaluación del período y se incluye como valor agregado.</t>
  </si>
</sst>
</file>

<file path=xl/styles.xml><?xml version="1.0" encoding="utf-8"?>
<styleSheet xmlns="http://schemas.openxmlformats.org/spreadsheetml/2006/main">
  <numFmts count="3">
    <numFmt numFmtId="164" formatCode="General"/>
    <numFmt numFmtId="165" formatCode="General"/>
    <numFmt numFmtId="166" formatCode="[=0]\-;General"/>
  </numFmts>
  <fonts count="2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9"/>
      <color rgb="FFFFFFFF"/>
      <name val="Arial"/>
      <family val="0"/>
      <charset val="1"/>
    </font>
    <font>
      <b val="true"/>
      <sz val="10"/>
      <color rgb="FFFFFFFF"/>
      <name val="Arial"/>
      <family val="0"/>
      <charset val="1"/>
    </font>
    <font>
      <b val="true"/>
      <sz val="9"/>
      <color rgb="FFFFFFFF"/>
      <name val="Arial"/>
      <family val="0"/>
      <charset val="1"/>
    </font>
    <font>
      <sz val="8"/>
      <color rgb="FF404040"/>
      <name val="Arial"/>
      <family val="0"/>
      <charset val="1"/>
    </font>
    <font>
      <b val="true"/>
      <sz val="9"/>
      <color rgb="FF000000"/>
      <name val="Arial"/>
      <family val="0"/>
      <charset val="1"/>
    </font>
    <font>
      <sz val="8"/>
      <color rgb="FF000000"/>
      <name val="Arial"/>
      <family val="0"/>
      <charset val="1"/>
    </font>
    <font>
      <sz val="9"/>
      <color rgb="FF000000"/>
      <name val="Arial"/>
      <family val="0"/>
      <charset val="1"/>
    </font>
    <font>
      <b val="true"/>
      <sz val="8"/>
      <color rgb="FFC00000"/>
      <name val="Arial"/>
      <family val="0"/>
      <charset val="1"/>
    </font>
    <font>
      <i val="true"/>
      <sz val="8"/>
      <color rgb="FF404040"/>
      <name val="Arial"/>
      <family val="0"/>
      <charset val="1"/>
    </font>
    <font>
      <i val="true"/>
      <sz val="8"/>
      <color rgb="FF000000"/>
      <name val="Arial"/>
      <family val="0"/>
      <charset val="1"/>
    </font>
    <font>
      <b val="true"/>
      <sz val="11"/>
      <color rgb="FF000000"/>
      <name val="Arial"/>
      <family val="0"/>
      <charset val="1"/>
    </font>
    <font>
      <b val="true"/>
      <sz val="11"/>
      <color rgb="FFFFFFFF"/>
      <name val="Arial"/>
      <family val="0"/>
      <charset val="1"/>
    </font>
    <font>
      <b val="true"/>
      <sz val="8"/>
      <color rgb="FF000000"/>
      <name val="Arial"/>
      <family val="0"/>
      <charset val="1"/>
    </font>
    <font>
      <b val="true"/>
      <sz val="12"/>
      <color rgb="FFFFFFFF"/>
      <name val="Arial"/>
      <family val="0"/>
      <charset val="1"/>
    </font>
    <font>
      <b val="true"/>
      <sz val="12"/>
      <color rgb="FF000000"/>
      <name val="Arial"/>
      <family val="0"/>
      <charset val="1"/>
    </font>
    <font>
      <b val="true"/>
      <sz val="9"/>
      <name val="Arial"/>
      <family val="0"/>
      <charset val="1"/>
    </font>
    <font>
      <sz val="9"/>
      <name val="Arial"/>
      <family val="0"/>
      <charset val="1"/>
    </font>
    <font>
      <i val="true"/>
      <sz val="8"/>
      <color rgb="FF595959"/>
      <name val="Arial"/>
      <family val="0"/>
      <charset val="1"/>
    </font>
  </fonts>
  <fills count="13">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C00000"/>
        <bgColor rgb="FF800000"/>
      </patternFill>
    </fill>
    <fill>
      <patternFill patternType="solid">
        <fgColor rgb="FFF2F2F2"/>
        <bgColor rgb="FFE2EFDA"/>
      </patternFill>
    </fill>
    <fill>
      <patternFill patternType="solid">
        <fgColor rgb="FFED7D31"/>
        <bgColor rgb="FFFF8080"/>
      </patternFill>
    </fill>
    <fill>
      <patternFill patternType="solid">
        <fgColor rgb="FFFFD966"/>
        <bgColor rgb="FFFFCCCC"/>
      </patternFill>
    </fill>
    <fill>
      <patternFill patternType="solid">
        <fgColor rgb="FF70AD47"/>
        <bgColor rgb="FF92D050"/>
      </patternFill>
    </fill>
    <fill>
      <patternFill patternType="solid">
        <fgColor rgb="FF92D050"/>
        <bgColor rgb="FF70AD47"/>
      </patternFill>
    </fill>
    <fill>
      <patternFill patternType="solid">
        <fgColor rgb="FF7030A0"/>
        <bgColor rgb="FF993366"/>
      </patternFill>
    </fill>
    <fill>
      <patternFill patternType="solid">
        <fgColor rgb="FFFFFFFF"/>
        <bgColor rgb="FFF2F2F2"/>
      </patternFill>
    </fill>
    <fill>
      <patternFill patternType="solid">
        <fgColor rgb="FFD6DCE4"/>
        <bgColor rgb="FFEAD9F7"/>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7" fillId="8" borderId="2" xfId="0" applyFont="true" applyBorder="true" applyAlignment="true" applyProtection="false">
      <alignment horizontal="center" vertical="center" textRotation="0" wrapText="true" indent="0" shrinkToFit="false"/>
      <protection locked="true" hidden="false"/>
    </xf>
    <xf numFmtId="164" fontId="9" fillId="9"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7" fillId="10" borderId="2"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11" fillId="11" borderId="2" xfId="0" applyFont="true" applyBorder="true" applyAlignment="true" applyProtection="false">
      <alignment horizontal="general" vertical="top" textRotation="0" wrapText="true" indent="0" shrinkToFit="false"/>
      <protection locked="true" hidden="false"/>
    </xf>
    <xf numFmtId="164" fontId="12" fillId="11" borderId="2" xfId="0" applyFont="true" applyBorder="true" applyAlignment="true" applyProtection="false">
      <alignment horizontal="center" vertical="center" textRotation="0" wrapText="true" indent="0" shrinkToFit="false"/>
      <protection locked="true" hidden="false"/>
    </xf>
    <xf numFmtId="164" fontId="13" fillId="11" borderId="2" xfId="0" applyFont="true" applyBorder="true" applyAlignment="true" applyProtection="false">
      <alignment horizontal="general" vertical="top" textRotation="0" wrapText="true" indent="0" shrinkToFit="false"/>
      <protection locked="true" hidden="false"/>
    </xf>
    <xf numFmtId="164" fontId="14" fillId="11" borderId="2" xfId="0" applyFont="true" applyBorder="true" applyAlignment="true" applyProtection="false">
      <alignment horizontal="general" vertical="top" textRotation="0" wrapText="true" indent="0" shrinkToFit="false"/>
      <protection locked="true" hidden="false"/>
    </xf>
    <xf numFmtId="164" fontId="9" fillId="11" borderId="2" xfId="0" applyFont="true" applyBorder="true" applyAlignment="true" applyProtection="false">
      <alignment horizontal="center" vertical="center" textRotation="0" wrapText="true" indent="0" shrinkToFit="false"/>
      <protection locked="true" hidden="false"/>
    </xf>
    <xf numFmtId="165" fontId="9" fillId="11" borderId="2"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13" fillId="5" borderId="2" xfId="0" applyFont="true" applyBorder="true" applyAlignment="true" applyProtection="false">
      <alignment horizontal="general" vertical="top" textRotation="0" wrapText="true" indent="0" shrinkToFit="false"/>
      <protection locked="true" hidden="false"/>
    </xf>
    <xf numFmtId="164" fontId="14" fillId="5" borderId="2" xfId="0" applyFont="true" applyBorder="true" applyAlignment="true" applyProtection="false">
      <alignment horizontal="general" vertical="top" textRotation="0" wrapText="true" indent="0" shrinkToFit="false"/>
      <protection locked="true" hidden="false"/>
    </xf>
    <xf numFmtId="165" fontId="9" fillId="5" borderId="2" xfId="0" applyFont="true" applyBorder="true" applyAlignment="true" applyProtection="false">
      <alignment horizontal="center" vertical="center" textRotation="0" wrapText="true" indent="0" shrinkToFit="false"/>
      <protection locked="true" hidden="false"/>
    </xf>
    <xf numFmtId="164" fontId="9" fillId="12" borderId="2" xfId="0" applyFont="true" applyBorder="true" applyAlignment="true" applyProtection="false">
      <alignment horizontal="center" vertical="center" textRotation="0" wrapText="true" indent="0" shrinkToFit="false"/>
      <protection locked="true" hidden="false"/>
    </xf>
    <xf numFmtId="166" fontId="15" fillId="7" borderId="2" xfId="0" applyFont="true" applyBorder="true" applyAlignment="true" applyProtection="false">
      <alignment horizontal="center" vertical="center" textRotation="0" wrapText="true" indent="0" shrinkToFit="false"/>
      <protection locked="true" hidden="false"/>
    </xf>
    <xf numFmtId="166" fontId="16" fillId="6" borderId="2" xfId="0" applyFont="true" applyBorder="true" applyAlignment="true" applyProtection="false">
      <alignment horizontal="center" vertical="center" textRotation="0" wrapText="true" indent="0" shrinkToFit="false"/>
      <protection locked="true" hidden="false"/>
    </xf>
    <xf numFmtId="166" fontId="16" fillId="4" borderId="2" xfId="0" applyFont="true" applyBorder="true" applyAlignment="true" applyProtection="false">
      <alignment horizontal="center" vertical="center" textRotation="0" wrapText="true" indent="0" shrinkToFit="false"/>
      <protection locked="true" hidden="false"/>
    </xf>
    <xf numFmtId="166" fontId="16" fillId="8" borderId="2"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5" fontId="18" fillId="4" borderId="1" xfId="0" applyFont="true" applyBorder="true" applyAlignment="true" applyProtection="false">
      <alignment horizontal="center" vertical="center" textRotation="0" wrapText="true" indent="0" shrinkToFit="false"/>
      <protection locked="true" hidden="false"/>
    </xf>
    <xf numFmtId="165" fontId="18" fillId="6" borderId="1" xfId="0" applyFont="true" applyBorder="true" applyAlignment="true" applyProtection="false">
      <alignment horizontal="center" vertical="center" textRotation="0" wrapText="true" indent="0" shrinkToFit="false"/>
      <protection locked="true" hidden="false"/>
    </xf>
    <xf numFmtId="165" fontId="19" fillId="7" borderId="1" xfId="0" applyFont="true" applyBorder="true" applyAlignment="true" applyProtection="false">
      <alignment horizontal="center" vertical="center" textRotation="0" wrapText="true" indent="0" shrinkToFit="false"/>
      <protection locked="true" hidden="false"/>
    </xf>
    <xf numFmtId="165" fontId="18" fillId="8" borderId="1" xfId="0" applyFont="true" applyBorder="true" applyAlignment="true" applyProtection="false">
      <alignment horizontal="center" vertical="center" textRotation="0" wrapText="true" indent="0" shrinkToFit="false"/>
      <protection locked="true" hidden="false"/>
    </xf>
    <xf numFmtId="165" fontId="18" fillId="10" borderId="1" xfId="0" applyFont="true" applyBorder="true" applyAlignment="true" applyProtection="false">
      <alignment horizontal="center" vertical="center" textRotation="0" wrapText="true" indent="0" shrinkToFit="false"/>
      <protection locked="true" hidden="false"/>
    </xf>
    <xf numFmtId="165" fontId="18" fillId="2" borderId="1" xfId="0" applyFont="true" applyBorder="true" applyAlignment="true" applyProtection="false">
      <alignment horizontal="center" vertical="center" textRotation="0" wrapText="true" indent="0" shrinkToFit="false"/>
      <protection locked="true" hidden="false"/>
    </xf>
    <xf numFmtId="165" fontId="19" fillId="12" borderId="1" xfId="0" applyFont="true" applyBorder="true" applyAlignment="true" applyProtection="false">
      <alignment horizontal="center" vertical="center" textRotation="0" wrapText="true" indent="0" shrinkToFit="false"/>
      <protection locked="true" hidden="false"/>
    </xf>
    <xf numFmtId="164" fontId="9" fillId="8" borderId="2"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5" fontId="21" fillId="0" borderId="2" xfId="0" applyFont="true" applyBorder="true" applyAlignment="true" applyProtection="false">
      <alignment horizontal="center" vertical="bottom" textRotation="0" wrapText="false" indent="0" shrinkToFit="false"/>
      <protection locked="true" hidden="false"/>
    </xf>
    <xf numFmtId="165" fontId="20" fillId="0" borderId="2" xfId="0" applyFont="true" applyBorder="true" applyAlignment="true" applyProtection="false">
      <alignment horizontal="center" vertical="bottom" textRotation="0" wrapText="false" indent="0" shrinkToFit="false"/>
      <protection locked="true" hidden="false"/>
    </xf>
    <xf numFmtId="164" fontId="20" fillId="12" borderId="0" xfId="0" applyFont="true" applyBorder="true" applyAlignment="false" applyProtection="false">
      <alignment horizontal="general" vertical="bottom" textRotation="0" wrapText="false" indent="0" shrinkToFit="false"/>
      <protection locked="true" hidden="false"/>
    </xf>
    <xf numFmtId="165" fontId="20" fillId="12" borderId="2"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1F3864"/>
          <bgColor rgb="FF000000"/>
        </patternFill>
      </fill>
    </dxf>
    <dxf>
      <fill>
        <patternFill patternType="solid">
          <fgColor rgb="FFE2EFDA"/>
          <bgColor rgb="FF000000"/>
        </patternFill>
      </fill>
    </dxf>
    <dxf>
      <fill>
        <patternFill patternType="solid">
          <fgColor rgb="FFEAD9F7"/>
          <bgColor rgb="FF000000"/>
        </patternFill>
      </fill>
    </dxf>
    <dxf>
      <fill>
        <patternFill patternType="solid">
          <fgColor rgb="FFFCE4D6"/>
          <bgColor rgb="FF000000"/>
        </patternFill>
      </fill>
    </dxf>
    <dxf>
      <fill>
        <patternFill patternType="solid">
          <fgColor rgb="FFFFCCCC"/>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404040"/>
          <bgColor rgb="FF000000"/>
        </patternFill>
      </fill>
    </dxf>
    <dxf>
      <fill>
        <patternFill patternType="solid">
          <fgColor rgb="FF7030A0"/>
          <bgColor rgb="FF000000"/>
        </patternFill>
      </fill>
    </dxf>
    <dxf>
      <fill>
        <patternFill patternType="solid">
          <fgColor rgb="FF70AD47"/>
          <bgColor rgb="FF000000"/>
        </patternFill>
      </fill>
    </dxf>
    <dxf>
      <fill>
        <patternFill patternType="solid">
          <fgColor rgb="FFED7D31"/>
          <bgColor rgb="FF000000"/>
        </patternFill>
      </fill>
    </dxf>
    <dxf>
      <fill>
        <patternFill patternType="solid">
          <fgColor rgb="FFFFD966"/>
          <bgColor rgb="FF000000"/>
        </patternFill>
      </fill>
    </dxf>
    <dxf>
      <font>
        <name val="Arial"/>
        <charset val="1"/>
        <family val="0"/>
        <b val="1"/>
        <color rgb="FFFFFFFF"/>
        <sz val="9"/>
      </font>
      <fill>
        <patternFill>
          <bgColor rgb="FFC00000"/>
        </patternFill>
      </fill>
    </dxf>
    <dxf>
      <font>
        <name val="Arial"/>
        <charset val="1"/>
        <family val="0"/>
        <b val="1"/>
        <color rgb="FFFFFFFF"/>
        <sz val="9"/>
      </font>
      <fill>
        <patternFill>
          <bgColor rgb="FFED7D31"/>
        </patternFill>
      </fill>
    </dxf>
    <dxf>
      <font>
        <name val="Arial"/>
        <charset val="1"/>
        <family val="0"/>
        <b val="1"/>
        <color rgb="FF000000"/>
        <sz val="9"/>
      </font>
      <fill>
        <patternFill>
          <bgColor rgb="FFFFD966"/>
        </patternFill>
      </fill>
    </dxf>
    <dxf>
      <font>
        <name val="Arial"/>
        <charset val="1"/>
        <family val="0"/>
        <b val="1"/>
        <color rgb="FFFFFFFF"/>
        <sz val="9"/>
      </font>
      <fill>
        <patternFill>
          <bgColor rgb="FF70AD47"/>
        </patternFill>
      </fill>
    </dxf>
    <dxf>
      <font>
        <name val="Arial"/>
        <charset val="1"/>
        <family val="0"/>
        <b val="1"/>
        <color rgb="FFFFFFFF"/>
        <sz val="9"/>
      </font>
      <fill>
        <patternFill>
          <bgColor rgb="FF7030A0"/>
        </patternFill>
      </fill>
    </dxf>
    <dxf>
      <fill>
        <patternFill>
          <bgColor rgb="FFFFCCCC"/>
        </patternFill>
      </fill>
    </dxf>
    <dxf>
      <fill>
        <patternFill>
          <bgColor rgb="FFFCE4D6"/>
        </patternFill>
      </fill>
    </dxf>
    <dxf>
      <fill>
        <patternFill>
          <bgColor rgb="FFFFF2CC"/>
        </patternFill>
      </fill>
    </dxf>
    <dxf>
      <fill>
        <patternFill>
          <bgColor rgb="FFE2EFDA"/>
        </patternFill>
      </fill>
    </dxf>
    <dxf>
      <fill>
        <patternFill>
          <bgColor rgb="FFEAD9F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F2F2F2"/>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EAD9F7"/>
      <rgbColor rgb="FFE2EFDA"/>
      <rgbColor rgb="FFFCE4D6"/>
      <rgbColor rgb="FF99CCFF"/>
      <rgbColor rgb="FFFF99CC"/>
      <rgbColor rgb="FFCC99FF"/>
      <rgbColor rgb="FFFFCCCC"/>
      <rgbColor rgb="FF2E75B6"/>
      <rgbColor rgb="FF33CCCC"/>
      <rgbColor rgb="FF92D050"/>
      <rgbColor rgb="FFFFD966"/>
      <rgbColor rgb="FFFF9900"/>
      <rgbColor rgb="FFED7D31"/>
      <rgbColor rgb="FF595959"/>
      <rgbColor rgb="FF70AD47"/>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8" activeCellId="0" sqref="E8"/>
    </sheetView>
  </sheetViews>
  <sheetFormatPr defaultColWidth="8.66796875" defaultRowHeight="14.25" zeroHeight="false" outlineLevelRow="0" outlineLevelCol="0"/>
  <cols>
    <col collapsed="false" customWidth="true" hidden="false" outlineLevel="0" max="1" min="1" style="0" width="18"/>
    <col collapsed="false" customWidth="true" hidden="false" outlineLevel="0" max="2" min="2" style="0" width="62"/>
    <col collapsed="false" customWidth="true" hidden="false" outlineLevel="0" max="3" min="3" style="0" width="14"/>
    <col collapsed="false" customWidth="true" hidden="false" outlineLevel="0" max="4" min="4" style="0" width="6"/>
    <col collapsed="false" customWidth="true" hidden="false" outlineLevel="0" max="5" min="5" style="0" width="10"/>
  </cols>
  <sheetData>
    <row r="1" customFormat="false" ht="31.5" hidden="false" customHeight="true" outlineLevel="0" collapsed="false">
      <c r="A1" s="1" t="s">
        <v>0</v>
      </c>
      <c r="B1" s="1"/>
      <c r="C1" s="1"/>
      <c r="D1" s="1"/>
      <c r="E1" s="1"/>
    </row>
    <row r="2" customFormat="false" ht="18" hidden="false" customHeight="true" outlineLevel="0" collapsed="false">
      <c r="A2" s="2" t="s">
        <v>1</v>
      </c>
      <c r="B2" s="2"/>
      <c r="C2" s="2"/>
      <c r="D2" s="2"/>
      <c r="E2" s="2"/>
    </row>
    <row r="3" customFormat="false" ht="7.5" hidden="false" customHeight="true" outlineLevel="0" collapsed="false"/>
    <row r="4" customFormat="false" ht="21.75" hidden="false" customHeight="true" outlineLevel="0" collapsed="false">
      <c r="A4" s="3" t="s">
        <v>2</v>
      </c>
      <c r="B4" s="3"/>
      <c r="C4" s="3"/>
      <c r="D4" s="3"/>
      <c r="E4" s="3"/>
    </row>
    <row r="5" customFormat="false" ht="18" hidden="false" customHeight="true" outlineLevel="0" collapsed="false">
      <c r="A5" s="4" t="s">
        <v>3</v>
      </c>
      <c r="B5" s="4" t="s">
        <v>4</v>
      </c>
      <c r="C5" s="4"/>
      <c r="D5" s="4"/>
      <c r="E5" s="4" t="s">
        <v>5</v>
      </c>
    </row>
    <row r="6" customFormat="false" ht="27.75" hidden="false" customHeight="true" outlineLevel="0" collapsed="false">
      <c r="A6" s="5" t="s">
        <v>6</v>
      </c>
      <c r="B6" s="6" t="s">
        <v>7</v>
      </c>
      <c r="C6" s="6"/>
      <c r="D6" s="6"/>
      <c r="E6" s="5" t="n">
        <v>5</v>
      </c>
    </row>
    <row r="7" customFormat="false" ht="27.75" hidden="false" customHeight="true" outlineLevel="0" collapsed="false">
      <c r="A7" s="7" t="s">
        <v>8</v>
      </c>
      <c r="B7" s="6" t="s">
        <v>9</v>
      </c>
      <c r="C7" s="6"/>
      <c r="D7" s="6"/>
      <c r="E7" s="7" t="n">
        <v>4</v>
      </c>
    </row>
    <row r="8" customFormat="false" ht="27.75" hidden="false" customHeight="true" outlineLevel="0" collapsed="false">
      <c r="A8" s="8" t="s">
        <v>10</v>
      </c>
      <c r="B8" s="6" t="s">
        <v>11</v>
      </c>
      <c r="C8" s="6"/>
      <c r="D8" s="6"/>
      <c r="E8" s="8" t="n">
        <v>3</v>
      </c>
    </row>
    <row r="9" customFormat="false" ht="27.75" hidden="false" customHeight="true" outlineLevel="0" collapsed="false">
      <c r="A9" s="9" t="s">
        <v>12</v>
      </c>
      <c r="B9" s="6" t="s">
        <v>13</v>
      </c>
      <c r="C9" s="6"/>
      <c r="D9" s="6"/>
      <c r="E9" s="9" t="n">
        <v>2</v>
      </c>
    </row>
    <row r="10" customFormat="false" ht="27.75" hidden="false" customHeight="true" outlineLevel="0" collapsed="false">
      <c r="A10" s="10" t="s">
        <v>14</v>
      </c>
      <c r="B10" s="6" t="s">
        <v>15</v>
      </c>
      <c r="C10" s="6"/>
      <c r="D10" s="6"/>
      <c r="E10" s="10" t="n">
        <v>1</v>
      </c>
    </row>
    <row r="11" customFormat="false" ht="7.5" hidden="false" customHeight="true" outlineLevel="0" collapsed="false"/>
    <row r="12" customFormat="false" ht="21.75" hidden="false" customHeight="true" outlineLevel="0" collapsed="false">
      <c r="A12" s="3" t="s">
        <v>16</v>
      </c>
      <c r="B12" s="3"/>
      <c r="C12" s="3"/>
      <c r="D12" s="3"/>
      <c r="E12" s="3"/>
    </row>
    <row r="13" customFormat="false" ht="18" hidden="false" customHeight="true" outlineLevel="0" collapsed="false">
      <c r="A13" s="4" t="s">
        <v>3</v>
      </c>
      <c r="B13" s="4" t="s">
        <v>4</v>
      </c>
      <c r="C13" s="4"/>
      <c r="D13" s="4"/>
      <c r="E13" s="4" t="s">
        <v>5</v>
      </c>
    </row>
    <row r="14" customFormat="false" ht="27.75" hidden="false" customHeight="true" outlineLevel="0" collapsed="false">
      <c r="A14" s="5" t="s">
        <v>17</v>
      </c>
      <c r="B14" s="6" t="s">
        <v>18</v>
      </c>
      <c r="C14" s="6"/>
      <c r="D14" s="6"/>
      <c r="E14" s="5" t="n">
        <v>5</v>
      </c>
    </row>
    <row r="15" customFormat="false" ht="27.75" hidden="false" customHeight="true" outlineLevel="0" collapsed="false">
      <c r="A15" s="7" t="s">
        <v>19</v>
      </c>
      <c r="B15" s="6" t="s">
        <v>20</v>
      </c>
      <c r="C15" s="6"/>
      <c r="D15" s="6"/>
      <c r="E15" s="7" t="n">
        <v>4</v>
      </c>
    </row>
    <row r="16" customFormat="false" ht="27.75" hidden="false" customHeight="true" outlineLevel="0" collapsed="false">
      <c r="A16" s="8" t="s">
        <v>21</v>
      </c>
      <c r="B16" s="6" t="s">
        <v>22</v>
      </c>
      <c r="C16" s="6"/>
      <c r="D16" s="6"/>
      <c r="E16" s="8" t="n">
        <v>3</v>
      </c>
    </row>
    <row r="17" customFormat="false" ht="27.75" hidden="false" customHeight="true" outlineLevel="0" collapsed="false">
      <c r="A17" s="9" t="s">
        <v>23</v>
      </c>
      <c r="B17" s="6" t="s">
        <v>24</v>
      </c>
      <c r="C17" s="6"/>
      <c r="D17" s="6"/>
      <c r="E17" s="9" t="n">
        <v>2</v>
      </c>
    </row>
    <row r="18" customFormat="false" ht="27.75" hidden="false" customHeight="true" outlineLevel="0" collapsed="false">
      <c r="A18" s="10" t="s">
        <v>25</v>
      </c>
      <c r="B18" s="6" t="s">
        <v>26</v>
      </c>
      <c r="C18" s="6"/>
      <c r="D18" s="6"/>
      <c r="E18" s="10" t="n">
        <v>1</v>
      </c>
    </row>
    <row r="19" customFormat="false" ht="7.5" hidden="false" customHeight="true" outlineLevel="0" collapsed="false"/>
    <row r="20" customFormat="false" ht="21.75" hidden="false" customHeight="true" outlineLevel="0" collapsed="false">
      <c r="A20" s="3" t="s">
        <v>27</v>
      </c>
      <c r="B20" s="3"/>
      <c r="C20" s="3"/>
      <c r="D20" s="3"/>
      <c r="E20" s="3"/>
    </row>
    <row r="21" customFormat="false" ht="18" hidden="false" customHeight="true" outlineLevel="0" collapsed="false">
      <c r="A21" s="4" t="s">
        <v>28</v>
      </c>
      <c r="B21" s="4" t="s">
        <v>29</v>
      </c>
      <c r="C21" s="4" t="s">
        <v>30</v>
      </c>
    </row>
    <row r="22" customFormat="false" ht="18" hidden="false" customHeight="true" outlineLevel="0" collapsed="false">
      <c r="A22" s="11" t="s">
        <v>31</v>
      </c>
      <c r="B22" s="8" t="s">
        <v>32</v>
      </c>
      <c r="C22" s="8" t="n">
        <v>5</v>
      </c>
    </row>
    <row r="23" customFormat="false" ht="18" hidden="false" customHeight="true" outlineLevel="0" collapsed="false">
      <c r="A23" s="11" t="s">
        <v>33</v>
      </c>
      <c r="B23" s="7" t="s">
        <v>34</v>
      </c>
      <c r="C23" s="7" t="n">
        <v>10</v>
      </c>
    </row>
    <row r="24" customFormat="false" ht="18" hidden="false" customHeight="true" outlineLevel="0" collapsed="false">
      <c r="A24" s="11" t="s">
        <v>35</v>
      </c>
      <c r="B24" s="5" t="s">
        <v>36</v>
      </c>
      <c r="C24" s="5" t="n">
        <v>15</v>
      </c>
    </row>
    <row r="25" customFormat="false" ht="18" hidden="false" customHeight="true" outlineLevel="0" collapsed="false">
      <c r="A25" s="11" t="s">
        <v>37</v>
      </c>
      <c r="B25" s="5" t="s">
        <v>36</v>
      </c>
      <c r="C25" s="5" t="n">
        <v>20</v>
      </c>
    </row>
    <row r="26" customFormat="false" ht="18" hidden="false" customHeight="true" outlineLevel="0" collapsed="false">
      <c r="A26" s="11" t="s">
        <v>38</v>
      </c>
      <c r="B26" s="5" t="s">
        <v>36</v>
      </c>
      <c r="C26" s="5" t="n">
        <v>25</v>
      </c>
    </row>
    <row r="27" customFormat="false" ht="18" hidden="false" customHeight="true" outlineLevel="0" collapsed="false">
      <c r="A27" s="11" t="s">
        <v>39</v>
      </c>
      <c r="B27" s="8" t="s">
        <v>32</v>
      </c>
      <c r="C27" s="8" t="n">
        <v>4</v>
      </c>
    </row>
    <row r="28" customFormat="false" ht="18" hidden="false" customHeight="true" outlineLevel="0" collapsed="false">
      <c r="A28" s="11" t="s">
        <v>40</v>
      </c>
      <c r="B28" s="7" t="s">
        <v>34</v>
      </c>
      <c r="C28" s="7" t="n">
        <v>8</v>
      </c>
    </row>
    <row r="29" customFormat="false" ht="18" hidden="false" customHeight="true" outlineLevel="0" collapsed="false">
      <c r="A29" s="11" t="s">
        <v>41</v>
      </c>
      <c r="B29" s="7" t="s">
        <v>34</v>
      </c>
      <c r="C29" s="7" t="n">
        <v>12</v>
      </c>
    </row>
    <row r="30" customFormat="false" ht="18" hidden="false" customHeight="true" outlineLevel="0" collapsed="false">
      <c r="A30" s="11" t="s">
        <v>42</v>
      </c>
      <c r="B30" s="5" t="s">
        <v>36</v>
      </c>
      <c r="C30" s="5" t="n">
        <v>16</v>
      </c>
    </row>
    <row r="31" customFormat="false" ht="18" hidden="false" customHeight="true" outlineLevel="0" collapsed="false">
      <c r="A31" s="11" t="s">
        <v>43</v>
      </c>
      <c r="B31" s="5" t="s">
        <v>36</v>
      </c>
      <c r="C31" s="5" t="n">
        <v>20</v>
      </c>
    </row>
    <row r="32" customFormat="false" ht="18" hidden="false" customHeight="true" outlineLevel="0" collapsed="false">
      <c r="A32" s="11" t="s">
        <v>44</v>
      </c>
      <c r="B32" s="9" t="s">
        <v>45</v>
      </c>
      <c r="C32" s="9" t="n">
        <v>3</v>
      </c>
    </row>
    <row r="33" customFormat="false" ht="18" hidden="false" customHeight="true" outlineLevel="0" collapsed="false">
      <c r="A33" s="11" t="s">
        <v>46</v>
      </c>
      <c r="B33" s="8" t="s">
        <v>32</v>
      </c>
      <c r="C33" s="8" t="n">
        <v>6</v>
      </c>
    </row>
    <row r="34" customFormat="false" ht="18" hidden="false" customHeight="true" outlineLevel="0" collapsed="false">
      <c r="A34" s="11" t="s">
        <v>47</v>
      </c>
      <c r="B34" s="7" t="s">
        <v>34</v>
      </c>
      <c r="C34" s="7" t="n">
        <v>9</v>
      </c>
    </row>
    <row r="35" customFormat="false" ht="18" hidden="false" customHeight="true" outlineLevel="0" collapsed="false">
      <c r="A35" s="11" t="s">
        <v>48</v>
      </c>
      <c r="B35" s="7" t="s">
        <v>34</v>
      </c>
      <c r="C35" s="7" t="n">
        <v>12</v>
      </c>
    </row>
    <row r="36" customFormat="false" ht="18" hidden="false" customHeight="true" outlineLevel="0" collapsed="false">
      <c r="A36" s="11" t="s">
        <v>49</v>
      </c>
      <c r="B36" s="5" t="s">
        <v>36</v>
      </c>
      <c r="C36" s="5" t="n">
        <v>15</v>
      </c>
    </row>
    <row r="37" customFormat="false" ht="18" hidden="false" customHeight="true" outlineLevel="0" collapsed="false">
      <c r="A37" s="11" t="s">
        <v>50</v>
      </c>
      <c r="B37" s="9" t="s">
        <v>45</v>
      </c>
      <c r="C37" s="9" t="n">
        <v>2</v>
      </c>
    </row>
    <row r="38" customFormat="false" ht="18" hidden="false" customHeight="true" outlineLevel="0" collapsed="false">
      <c r="A38" s="11" t="s">
        <v>51</v>
      </c>
      <c r="B38" s="8" t="s">
        <v>32</v>
      </c>
      <c r="C38" s="8" t="n">
        <v>4</v>
      </c>
    </row>
    <row r="39" customFormat="false" ht="18" hidden="false" customHeight="true" outlineLevel="0" collapsed="false">
      <c r="A39" s="11" t="s">
        <v>52</v>
      </c>
      <c r="B39" s="8" t="s">
        <v>32</v>
      </c>
      <c r="C39" s="8" t="n">
        <v>6</v>
      </c>
    </row>
    <row r="40" customFormat="false" ht="18" hidden="false" customHeight="true" outlineLevel="0" collapsed="false">
      <c r="A40" s="11" t="s">
        <v>53</v>
      </c>
      <c r="B40" s="7" t="s">
        <v>34</v>
      </c>
      <c r="C40" s="7" t="n">
        <v>8</v>
      </c>
    </row>
    <row r="41" customFormat="false" ht="18" hidden="false" customHeight="true" outlineLevel="0" collapsed="false">
      <c r="A41" s="11" t="s">
        <v>54</v>
      </c>
      <c r="B41" s="7" t="s">
        <v>34</v>
      </c>
      <c r="C41" s="7" t="n">
        <v>10</v>
      </c>
    </row>
    <row r="42" customFormat="false" ht="18" hidden="false" customHeight="true" outlineLevel="0" collapsed="false">
      <c r="A42" s="11" t="s">
        <v>55</v>
      </c>
      <c r="B42" s="9" t="s">
        <v>45</v>
      </c>
      <c r="C42" s="9" t="n">
        <v>1</v>
      </c>
    </row>
    <row r="43" customFormat="false" ht="18" hidden="false" customHeight="true" outlineLevel="0" collapsed="false">
      <c r="A43" s="11" t="s">
        <v>56</v>
      </c>
      <c r="B43" s="9" t="s">
        <v>45</v>
      </c>
      <c r="C43" s="9" t="n">
        <v>2</v>
      </c>
    </row>
    <row r="44" customFormat="false" ht="18" hidden="false" customHeight="true" outlineLevel="0" collapsed="false">
      <c r="A44" s="11" t="s">
        <v>57</v>
      </c>
      <c r="B44" s="9" t="s">
        <v>45</v>
      </c>
      <c r="C44" s="9" t="n">
        <v>3</v>
      </c>
    </row>
    <row r="45" customFormat="false" ht="18" hidden="false" customHeight="true" outlineLevel="0" collapsed="false">
      <c r="A45" s="11" t="s">
        <v>58</v>
      </c>
      <c r="B45" s="8" t="s">
        <v>32</v>
      </c>
      <c r="C45" s="8" t="n">
        <v>4</v>
      </c>
    </row>
    <row r="46" customFormat="false" ht="18" hidden="false" customHeight="true" outlineLevel="0" collapsed="false">
      <c r="A46" s="11" t="s">
        <v>59</v>
      </c>
      <c r="B46" s="8" t="s">
        <v>32</v>
      </c>
      <c r="C46" s="8" t="n">
        <v>5</v>
      </c>
    </row>
    <row r="47" customFormat="false" ht="18" hidden="false" customHeight="true" outlineLevel="0" collapsed="false">
      <c r="A47" s="11" t="s">
        <v>60</v>
      </c>
      <c r="B47" s="12" t="s">
        <v>61</v>
      </c>
      <c r="C47" s="12" t="s">
        <v>62</v>
      </c>
    </row>
    <row r="48" customFormat="false" ht="7.5" hidden="false" customHeight="true" outlineLevel="0" collapsed="false"/>
    <row r="49" customFormat="false" ht="21.75" hidden="false" customHeight="true" outlineLevel="0" collapsed="false">
      <c r="A49" s="3" t="s">
        <v>63</v>
      </c>
      <c r="B49" s="3"/>
      <c r="C49" s="3"/>
      <c r="D49" s="3"/>
      <c r="E49" s="3"/>
    </row>
    <row r="50" customFormat="false" ht="18" hidden="false" customHeight="true" outlineLevel="0" collapsed="false">
      <c r="A50" s="4" t="s">
        <v>64</v>
      </c>
      <c r="B50" s="4" t="s">
        <v>65</v>
      </c>
      <c r="C50" s="4"/>
      <c r="D50" s="4"/>
      <c r="E50" s="4" t="s">
        <v>66</v>
      </c>
    </row>
    <row r="51" customFormat="false" ht="27.75" hidden="false" customHeight="true" outlineLevel="0" collapsed="false">
      <c r="A51" s="9" t="s">
        <v>45</v>
      </c>
      <c r="B51" s="13" t="s">
        <v>67</v>
      </c>
      <c r="C51" s="13"/>
      <c r="D51" s="13"/>
      <c r="E51" s="9" t="s">
        <v>68</v>
      </c>
    </row>
    <row r="52" customFormat="false" ht="27.75" hidden="false" customHeight="true" outlineLevel="0" collapsed="false">
      <c r="A52" s="8" t="s">
        <v>32</v>
      </c>
      <c r="B52" s="13" t="s">
        <v>69</v>
      </c>
      <c r="C52" s="13"/>
      <c r="D52" s="13"/>
      <c r="E52" s="8" t="s">
        <v>70</v>
      </c>
    </row>
    <row r="53" customFormat="false" ht="27.75" hidden="false" customHeight="true" outlineLevel="0" collapsed="false">
      <c r="A53" s="7" t="s">
        <v>34</v>
      </c>
      <c r="B53" s="13" t="s">
        <v>71</v>
      </c>
      <c r="C53" s="13"/>
      <c r="D53" s="13"/>
      <c r="E53" s="7" t="s">
        <v>72</v>
      </c>
    </row>
    <row r="54" customFormat="false" ht="27.75" hidden="false" customHeight="true" outlineLevel="0" collapsed="false">
      <c r="A54" s="5" t="s">
        <v>36</v>
      </c>
      <c r="B54" s="13" t="s">
        <v>73</v>
      </c>
      <c r="C54" s="13"/>
      <c r="D54" s="13"/>
      <c r="E54" s="5" t="s">
        <v>74</v>
      </c>
    </row>
    <row r="55" customFormat="false" ht="27.75" hidden="false" customHeight="true" outlineLevel="0" collapsed="false">
      <c r="A55" s="12" t="s">
        <v>61</v>
      </c>
      <c r="B55" s="13" t="s">
        <v>75</v>
      </c>
      <c r="C55" s="13"/>
      <c r="D55" s="13"/>
      <c r="E55" s="12" t="s">
        <v>62</v>
      </c>
    </row>
  </sheetData>
  <mergeCells count="21">
    <mergeCell ref="A1:E1"/>
    <mergeCell ref="A2:E2"/>
    <mergeCell ref="A4:E4"/>
    <mergeCell ref="B6:D6"/>
    <mergeCell ref="B7:D7"/>
    <mergeCell ref="B8:D8"/>
    <mergeCell ref="B9:D9"/>
    <mergeCell ref="B10:D10"/>
    <mergeCell ref="A12:E12"/>
    <mergeCell ref="B14:D14"/>
    <mergeCell ref="B15:D15"/>
    <mergeCell ref="B16:D16"/>
    <mergeCell ref="B17:D17"/>
    <mergeCell ref="B18:D18"/>
    <mergeCell ref="A20:E20"/>
    <mergeCell ref="A49:E49"/>
    <mergeCell ref="B51:D51"/>
    <mergeCell ref="B52:D52"/>
    <mergeCell ref="B53:D53"/>
    <mergeCell ref="B54:D54"/>
    <mergeCell ref="B55:D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J12" activeCellId="0" sqref="J12"/>
    </sheetView>
  </sheetViews>
  <sheetFormatPr defaultColWidth="8.66796875" defaultRowHeight="14.25" zeroHeight="false" outlineLevelRow="0" outlineLevelCol="0"/>
  <cols>
    <col collapsed="false" customWidth="true" hidden="false" outlineLevel="0" max="1" min="1" style="0" width="62"/>
    <col collapsed="false" customWidth="true" hidden="false" outlineLevel="0" max="2" min="2" style="0" width="18"/>
    <col collapsed="false" customWidth="true" hidden="false" outlineLevel="0" max="4" min="3" style="0" width="30"/>
    <col collapsed="false" customWidth="true" hidden="false" outlineLevel="0" max="5" min="5" style="0" width="14"/>
    <col collapsed="false" customWidth="true" hidden="false" outlineLevel="0" max="6" min="6" style="0" width="8"/>
    <col collapsed="false" customWidth="true" hidden="false" outlineLevel="0" max="7" min="7" style="0" width="14"/>
    <col collapsed="false" customWidth="true" hidden="false" outlineLevel="0" max="8" min="8" style="0" width="8"/>
    <col collapsed="false" customWidth="true" hidden="false" outlineLevel="0" max="9" min="9" style="0" width="10"/>
    <col collapsed="false" customWidth="true" hidden="false" outlineLevel="0" max="10" min="10" style="0" width="16"/>
    <col collapsed="false" customWidth="true" hidden="false" outlineLevel="0" max="11" min="11" style="0" width="20"/>
    <col collapsed="false" customWidth="true" hidden="false" outlineLevel="0" max="12" min="12" style="0" width="34"/>
    <col collapsed="false" customWidth="true" hidden="false" outlineLevel="0" max="13" min="13" style="0" width="9"/>
    <col collapsed="false" customWidth="true" hidden="false" outlineLevel="0" max="14" min="14" style="0" width="16"/>
    <col collapsed="false" customWidth="true" hidden="false" outlineLevel="0" max="15" min="15" style="0" width="44"/>
  </cols>
  <sheetData>
    <row r="1" customFormat="false" ht="31.5" hidden="false" customHeight="true" outlineLevel="0" collapsed="false">
      <c r="A1" s="1" t="s">
        <v>76</v>
      </c>
      <c r="B1" s="1"/>
      <c r="C1" s="1"/>
      <c r="D1" s="1"/>
      <c r="E1" s="1"/>
      <c r="F1" s="1"/>
      <c r="G1" s="1"/>
      <c r="H1" s="1"/>
      <c r="I1" s="1"/>
      <c r="J1" s="1"/>
      <c r="K1" s="1"/>
      <c r="L1" s="1"/>
      <c r="M1" s="1"/>
      <c r="N1" s="1"/>
      <c r="O1" s="1"/>
    </row>
    <row r="2" customFormat="false" ht="18" hidden="false" customHeight="true" outlineLevel="0" collapsed="false">
      <c r="A2" s="2" t="s">
        <v>77</v>
      </c>
      <c r="B2" s="2"/>
      <c r="C2" s="2"/>
      <c r="D2" s="2"/>
      <c r="E2" s="2"/>
      <c r="F2" s="2"/>
      <c r="G2" s="2"/>
      <c r="H2" s="2"/>
      <c r="I2" s="2"/>
      <c r="J2" s="2"/>
      <c r="K2" s="2"/>
      <c r="L2" s="2"/>
      <c r="M2" s="2"/>
      <c r="N2" s="2"/>
      <c r="O2" s="2"/>
    </row>
    <row r="3" customFormat="false" ht="39.75" hidden="false" customHeight="true" outlineLevel="0" collapsed="false">
      <c r="A3" s="14" t="s">
        <v>78</v>
      </c>
      <c r="B3" s="14" t="s">
        <v>79</v>
      </c>
      <c r="C3" s="14" t="s">
        <v>80</v>
      </c>
      <c r="D3" s="14" t="s">
        <v>81</v>
      </c>
      <c r="E3" s="14" t="s">
        <v>82</v>
      </c>
      <c r="F3" s="14" t="s">
        <v>83</v>
      </c>
      <c r="G3" s="14" t="s">
        <v>84</v>
      </c>
      <c r="H3" s="14" t="s">
        <v>85</v>
      </c>
      <c r="I3" s="14" t="s">
        <v>86</v>
      </c>
      <c r="J3" s="14" t="s">
        <v>29</v>
      </c>
      <c r="K3" s="14" t="s">
        <v>87</v>
      </c>
      <c r="L3" s="14" t="s">
        <v>88</v>
      </c>
      <c r="M3" s="14" t="s">
        <v>89</v>
      </c>
      <c r="N3" s="14" t="s">
        <v>90</v>
      </c>
      <c r="O3" s="14" t="s">
        <v>91</v>
      </c>
    </row>
    <row r="4" customFormat="false" ht="103.5" hidden="false" customHeight="true" outlineLevel="0" collapsed="false">
      <c r="A4" s="15" t="s">
        <v>92</v>
      </c>
      <c r="B4" s="16" t="s">
        <v>93</v>
      </c>
      <c r="C4" s="17" t="s">
        <v>94</v>
      </c>
      <c r="D4" s="18" t="s">
        <v>95</v>
      </c>
      <c r="E4" s="19" t="s">
        <v>8</v>
      </c>
      <c r="F4" s="20" t="n">
        <f aca="false">IFERROR(VLOOKUP(E4,Variables!$A$6:$E$10,5,0),"")</f>
        <v>4</v>
      </c>
      <c r="G4" s="19" t="s">
        <v>19</v>
      </c>
      <c r="H4" s="20" t="n">
        <f aca="false">IFERROR(VLOOKUP(G4,Variables!$A$14:$E$18,5,0),"")</f>
        <v>4</v>
      </c>
      <c r="I4" s="19" t="str">
        <f aca="false">IF(B4="Oportunidad de Mejora","OM",IFERROR(CONCATENATE(F4,":",H4),""))</f>
        <v>4:4</v>
      </c>
      <c r="J4" s="19" t="str">
        <f aca="false">IFERROR(VLOOKUP(I4,Variables!$A$22:$B$47,2,FALSE()),"Por definir")</f>
        <v>CRÍTICO</v>
      </c>
      <c r="K4" s="17" t="s">
        <v>96</v>
      </c>
      <c r="L4" s="17" t="s">
        <v>97</v>
      </c>
      <c r="M4" s="19" t="n">
        <f aca="false">IF(I4="OM","N/A",IFERROR(F4*H4,""))</f>
        <v>16</v>
      </c>
      <c r="N4" s="17" t="s">
        <v>98</v>
      </c>
      <c r="O4" s="17" t="str">
        <f aca="false">IFERROR(VLOOKUP(J4,Variables!$A$51:$B$55,2,FALSE()),"")</f>
        <v>Riesgo inaceptable. Acción inmediata (0-30 días). Reporte obligatorio a JD y Oficial de Cumplimiento.</v>
      </c>
    </row>
    <row r="5" customFormat="false" ht="64.5" hidden="false" customHeight="true" outlineLevel="0" collapsed="false">
      <c r="A5" s="21" t="s">
        <v>99</v>
      </c>
      <c r="B5" s="22" t="s">
        <v>93</v>
      </c>
      <c r="C5" s="23" t="s">
        <v>100</v>
      </c>
      <c r="D5" s="24" t="s">
        <v>101</v>
      </c>
      <c r="E5" s="11" t="s">
        <v>10</v>
      </c>
      <c r="F5" s="25" t="n">
        <f aca="false">IFERROR(VLOOKUP(E5,Variables!$A$6:$E$10,5,0),"")</f>
        <v>3</v>
      </c>
      <c r="G5" s="11" t="s">
        <v>21</v>
      </c>
      <c r="H5" s="25" t="n">
        <f aca="false">IFERROR(VLOOKUP(G5,Variables!$A$14:$E$18,5,0),"")</f>
        <v>3</v>
      </c>
      <c r="I5" s="11" t="str">
        <f aca="false">IF(B5="Oportunidad de Mejora","OM",IFERROR(CONCATENATE(F5,":",H5),""))</f>
        <v>3:3</v>
      </c>
      <c r="J5" s="11" t="str">
        <f aca="false">IFERROR(VLOOKUP(I5,Variables!$A$22:$B$47,2,FALSE()),"Por definir")</f>
        <v>MEDIO-ALTO</v>
      </c>
      <c r="K5" s="23" t="s">
        <v>96</v>
      </c>
      <c r="L5" s="23" t="s">
        <v>102</v>
      </c>
      <c r="M5" s="11" t="n">
        <f aca="false">IF(I5="OM","N/A",IFERROR(F5*H5,""))</f>
        <v>9</v>
      </c>
      <c r="N5" s="23" t="s">
        <v>103</v>
      </c>
      <c r="O5" s="23" t="str">
        <f aca="false">IFERROR(VLOOKUP(J5,Variables!$A$51:$B$55,2,FALSE()),"")</f>
        <v>Riesgo significativo. Requiere plan de acción formal (30-60 días). Monitoreo mensual.</v>
      </c>
    </row>
    <row r="6" customFormat="false" ht="129.75" hidden="false" customHeight="true" outlineLevel="0" collapsed="false">
      <c r="A6" s="15" t="s">
        <v>104</v>
      </c>
      <c r="B6" s="16" t="s">
        <v>93</v>
      </c>
      <c r="C6" s="17" t="s">
        <v>105</v>
      </c>
      <c r="D6" s="18" t="s">
        <v>106</v>
      </c>
      <c r="E6" s="19" t="s">
        <v>8</v>
      </c>
      <c r="F6" s="20" t="n">
        <f aca="false">IFERROR(VLOOKUP(E6,Variables!$A$6:$E$10,5,0),"")</f>
        <v>4</v>
      </c>
      <c r="G6" s="19" t="s">
        <v>21</v>
      </c>
      <c r="H6" s="20" t="n">
        <f aca="false">IFERROR(VLOOKUP(G6,Variables!$A$14:$E$18,5,0),"")</f>
        <v>3</v>
      </c>
      <c r="I6" s="19" t="str">
        <f aca="false">IF(B6="Oportunidad de Mejora","OM",IFERROR(CONCATENATE(F6,":",H6),""))</f>
        <v>4:3</v>
      </c>
      <c r="J6" s="19" t="str">
        <f aca="false">IFERROR(VLOOKUP(I6,Variables!$A$22:$B$47,2,FALSE()),"Por definir")</f>
        <v>MEDIO-ALTO</v>
      </c>
      <c r="K6" s="17" t="s">
        <v>96</v>
      </c>
      <c r="L6" s="17" t="s">
        <v>107</v>
      </c>
      <c r="M6" s="19" t="n">
        <f aca="false">IF(I6="OM","N/A",IFERROR(F6*H6,""))</f>
        <v>12</v>
      </c>
      <c r="N6" s="17" t="s">
        <v>108</v>
      </c>
      <c r="O6" s="17" t="str">
        <f aca="false">IFERROR(VLOOKUP(J6,Variables!$A$51:$B$55,2,FALSE()),"")</f>
        <v>Riesgo significativo. Requiere plan de acción formal (30-60 días). Monitoreo mensual.</v>
      </c>
    </row>
    <row r="7" customFormat="false" ht="103.5" hidden="false" customHeight="true" outlineLevel="0" collapsed="false">
      <c r="A7" s="21" t="s">
        <v>109</v>
      </c>
      <c r="B7" s="22" t="s">
        <v>93</v>
      </c>
      <c r="C7" s="23" t="s">
        <v>110</v>
      </c>
      <c r="D7" s="24" t="s">
        <v>111</v>
      </c>
      <c r="E7" s="11" t="s">
        <v>10</v>
      </c>
      <c r="F7" s="25" t="n">
        <f aca="false">IFERROR(VLOOKUP(E7,Variables!$A$6:$E$10,5,0),"")</f>
        <v>3</v>
      </c>
      <c r="G7" s="11" t="s">
        <v>21</v>
      </c>
      <c r="H7" s="25" t="n">
        <f aca="false">IFERROR(VLOOKUP(G7,Variables!$A$14:$E$18,5,0),"")</f>
        <v>3</v>
      </c>
      <c r="I7" s="11" t="str">
        <f aca="false">IF(B7="Oportunidad de Mejora","OM",IFERROR(CONCATENATE(F7,":",H7),""))</f>
        <v>3:3</v>
      </c>
      <c r="J7" s="11" t="str">
        <f aca="false">IFERROR(VLOOKUP(I7,Variables!$A$22:$B$47,2,FALSE()),"Por definir")</f>
        <v>MEDIO-ALTO</v>
      </c>
      <c r="K7" s="23" t="s">
        <v>96</v>
      </c>
      <c r="L7" s="23" t="s">
        <v>112</v>
      </c>
      <c r="M7" s="11" t="n">
        <f aca="false">IF(I7="OM","N/A",IFERROR(F7*H7,""))</f>
        <v>9</v>
      </c>
      <c r="N7" s="23" t="s">
        <v>113</v>
      </c>
      <c r="O7" s="23" t="str">
        <f aca="false">IFERROR(VLOOKUP(J7,Variables!$A$51:$B$55,2,FALSE()),"")</f>
        <v>Riesgo significativo. Requiere plan de acción formal (30-60 días). Monitoreo mensual.</v>
      </c>
    </row>
    <row r="8" customFormat="false" ht="129.75" hidden="false" customHeight="true" outlineLevel="0" collapsed="false">
      <c r="A8" s="15" t="s">
        <v>114</v>
      </c>
      <c r="B8" s="16" t="s">
        <v>93</v>
      </c>
      <c r="C8" s="17" t="s">
        <v>115</v>
      </c>
      <c r="D8" s="18" t="s">
        <v>116</v>
      </c>
      <c r="E8" s="19" t="s">
        <v>10</v>
      </c>
      <c r="F8" s="20" t="n">
        <f aca="false">IFERROR(VLOOKUP(E8,Variables!$A$6:$E$10,5,0),"")</f>
        <v>3</v>
      </c>
      <c r="G8" s="19" t="s">
        <v>21</v>
      </c>
      <c r="H8" s="20" t="n">
        <f aca="false">IFERROR(VLOOKUP(G8,Variables!$A$14:$E$18,5,0),"")</f>
        <v>3</v>
      </c>
      <c r="I8" s="19" t="str">
        <f aca="false">IF(B8="Oportunidad de Mejora","OM",IFERROR(CONCATENATE(F8,":",H8),""))</f>
        <v>3:3</v>
      </c>
      <c r="J8" s="19" t="str">
        <f aca="false">IFERROR(VLOOKUP(I8,Variables!$A$22:$B$47,2,FALSE()),"Por definir")</f>
        <v>MEDIO-ALTO</v>
      </c>
      <c r="K8" s="17" t="s">
        <v>96</v>
      </c>
      <c r="L8" s="17" t="s">
        <v>117</v>
      </c>
      <c r="M8" s="19" t="n">
        <f aca="false">IF(I8="OM","N/A",IFERROR(F8*H8,""))</f>
        <v>9</v>
      </c>
      <c r="N8" s="17" t="s">
        <v>118</v>
      </c>
      <c r="O8" s="17" t="str">
        <f aca="false">IFERROR(VLOOKUP(J8,Variables!$A$51:$B$55,2,FALSE()),"")</f>
        <v>Riesgo significativo. Requiere plan de acción formal (30-60 días). Monitoreo mensual.</v>
      </c>
    </row>
    <row r="9" customFormat="false" ht="103.5" hidden="false" customHeight="true" outlineLevel="0" collapsed="false">
      <c r="A9" s="21" t="s">
        <v>119</v>
      </c>
      <c r="B9" s="22" t="s">
        <v>93</v>
      </c>
      <c r="C9" s="23" t="s">
        <v>120</v>
      </c>
      <c r="D9" s="24" t="s">
        <v>121</v>
      </c>
      <c r="E9" s="11" t="s">
        <v>10</v>
      </c>
      <c r="F9" s="25" t="n">
        <f aca="false">IFERROR(VLOOKUP(E9,Variables!$A$6:$E$10,5,0),"")</f>
        <v>3</v>
      </c>
      <c r="G9" s="11" t="s">
        <v>23</v>
      </c>
      <c r="H9" s="25" t="n">
        <f aca="false">IFERROR(VLOOKUP(G9,Variables!$A$14:$E$18,5,0),"")</f>
        <v>2</v>
      </c>
      <c r="I9" s="11" t="str">
        <f aca="false">IF(B9="Oportunidad de Mejora","OM",IFERROR(CONCATENATE(F9,":",H9),""))</f>
        <v>3:2</v>
      </c>
      <c r="J9" s="11" t="str">
        <f aca="false">IFERROR(VLOOKUP(I9,Variables!$A$22:$B$47,2,FALSE()),"Por definir")</f>
        <v>MEDIO</v>
      </c>
      <c r="K9" s="23" t="s">
        <v>96</v>
      </c>
      <c r="L9" s="23" t="s">
        <v>122</v>
      </c>
      <c r="M9" s="11" t="n">
        <f aca="false">IF(I9="OM","N/A",IFERROR(F9*H9,""))</f>
        <v>6</v>
      </c>
      <c r="N9" s="23" t="s">
        <v>123</v>
      </c>
      <c r="O9" s="23" t="str">
        <f aca="false">IFERROR(VLOOKUP(J9,Variables!$A$51:$B$55,2,FALSE()),"")</f>
        <v>Riesgo manejable. Requiere medidas correctivas (60-90 días). Monitoreo trimestral.</v>
      </c>
    </row>
    <row r="10" customFormat="false" ht="103.5" hidden="false" customHeight="true" outlineLevel="0" collapsed="false">
      <c r="A10" s="15" t="s">
        <v>124</v>
      </c>
      <c r="B10" s="16" t="s">
        <v>93</v>
      </c>
      <c r="C10" s="17" t="s">
        <v>125</v>
      </c>
      <c r="D10" s="18" t="s">
        <v>126</v>
      </c>
      <c r="E10" s="19" t="s">
        <v>12</v>
      </c>
      <c r="F10" s="20" t="n">
        <f aca="false">IFERROR(VLOOKUP(E10,Variables!$A$6:$E$10,5,0),"")</f>
        <v>2</v>
      </c>
      <c r="G10" s="19" t="s">
        <v>21</v>
      </c>
      <c r="H10" s="20" t="n">
        <f aca="false">IFERROR(VLOOKUP(G10,Variables!$A$14:$E$18,5,0),"")</f>
        <v>3</v>
      </c>
      <c r="I10" s="19" t="str">
        <f aca="false">IF(B10="Oportunidad de Mejora","OM",IFERROR(CONCATENATE(F10,":",H10),""))</f>
        <v>2:3</v>
      </c>
      <c r="J10" s="19" t="str">
        <f aca="false">IFERROR(VLOOKUP(I10,Variables!$A$22:$B$47,2,FALSE()),"Por definir")</f>
        <v>MEDIO</v>
      </c>
      <c r="K10" s="17" t="s">
        <v>96</v>
      </c>
      <c r="L10" s="17" t="s">
        <v>127</v>
      </c>
      <c r="M10" s="19" t="n">
        <f aca="false">IF(I10="OM","N/A",IFERROR(F10*H10,""))</f>
        <v>6</v>
      </c>
      <c r="N10" s="17" t="s">
        <v>128</v>
      </c>
      <c r="O10" s="17" t="str">
        <f aca="false">IFERROR(VLOOKUP(J10,Variables!$A$51:$B$55,2,FALSE()),"")</f>
        <v>Riesgo manejable. Requiere medidas correctivas (60-90 días). Monitoreo trimestral.</v>
      </c>
    </row>
    <row r="11" customFormat="false" ht="60" hidden="false" customHeight="true" outlineLevel="0" collapsed="false">
      <c r="A11" s="21" t="s">
        <v>129</v>
      </c>
      <c r="B11" s="22" t="s">
        <v>93</v>
      </c>
      <c r="C11" s="23" t="s">
        <v>130</v>
      </c>
      <c r="D11" s="24" t="s">
        <v>131</v>
      </c>
      <c r="E11" s="11" t="s">
        <v>12</v>
      </c>
      <c r="F11" s="25" t="n">
        <f aca="false">IFERROR(VLOOKUP(E11,Variables!$A$6:$E$10,5,0),"")</f>
        <v>2</v>
      </c>
      <c r="G11" s="11" t="s">
        <v>21</v>
      </c>
      <c r="H11" s="25" t="n">
        <f aca="false">IFERROR(VLOOKUP(G11,Variables!$A$14:$E$18,5,0),"")</f>
        <v>3</v>
      </c>
      <c r="I11" s="11" t="str">
        <f aca="false">IF(B11="Oportunidad de Mejora","OM",IFERROR(CONCATENATE(F11,":",H11),""))</f>
        <v>2:3</v>
      </c>
      <c r="J11" s="11" t="str">
        <f aca="false">IFERROR(VLOOKUP(I11,Variables!$A$22:$B$47,2,FALSE()),"Por definir")</f>
        <v>MEDIO</v>
      </c>
      <c r="K11" s="23" t="s">
        <v>96</v>
      </c>
      <c r="L11" s="23" t="s">
        <v>132</v>
      </c>
      <c r="M11" s="11" t="n">
        <f aca="false">IF(I11="OM","N/A",IFERROR(F11*H11,""))</f>
        <v>6</v>
      </c>
      <c r="N11" s="23" t="s">
        <v>133</v>
      </c>
      <c r="O11" s="23" t="str">
        <f aca="false">IFERROR(VLOOKUP(J11,Variables!$A$51:$B$55,2,FALSE()),"")</f>
        <v>Riesgo manejable. Requiere medidas correctivas (60-90 días). Monitoreo trimestral.</v>
      </c>
    </row>
    <row r="12" customFormat="false" ht="64.5" hidden="false" customHeight="true" outlineLevel="0" collapsed="false">
      <c r="A12" s="15" t="s">
        <v>134</v>
      </c>
      <c r="B12" s="16" t="s">
        <v>93</v>
      </c>
      <c r="C12" s="17" t="s">
        <v>135</v>
      </c>
      <c r="D12" s="18" t="s">
        <v>136</v>
      </c>
      <c r="E12" s="19" t="s">
        <v>10</v>
      </c>
      <c r="F12" s="20" t="n">
        <f aca="false">IFERROR(VLOOKUP(E12,Variables!$A$6:$E$10,5,0),"")</f>
        <v>3</v>
      </c>
      <c r="G12" s="19" t="s">
        <v>23</v>
      </c>
      <c r="H12" s="20" t="n">
        <f aca="false">IFERROR(VLOOKUP(G12,Variables!$A$14:$E$18,5,0),"")</f>
        <v>2</v>
      </c>
      <c r="I12" s="19" t="str">
        <f aca="false">IF(B12="Oportunidad de Mejora","OM",IFERROR(CONCATENATE(F12,":",H12),""))</f>
        <v>3:2</v>
      </c>
      <c r="J12" s="19" t="str">
        <f aca="false">IFERROR(VLOOKUP(I12,Variables!$A$22:$B$47,2,FALSE()),"Por definir")</f>
        <v>MEDIO</v>
      </c>
      <c r="K12" s="17" t="s">
        <v>96</v>
      </c>
      <c r="L12" s="17" t="s">
        <v>137</v>
      </c>
      <c r="M12" s="19" t="n">
        <f aca="false">IF(I12="OM","N/A",IFERROR(F12*H12,""))</f>
        <v>6</v>
      </c>
      <c r="N12" s="17" t="s">
        <v>133</v>
      </c>
      <c r="O12" s="17" t="str">
        <f aca="false">IFERROR(VLOOKUP(J12,Variables!$A$51:$B$55,2,FALSE()),"")</f>
        <v>Riesgo manejable. Requiere medidas correctivas (60-90 días). Monitoreo trimestral.</v>
      </c>
    </row>
    <row r="13" customFormat="false" ht="78" hidden="false" customHeight="true" outlineLevel="0" collapsed="false">
      <c r="A13" s="21" t="s">
        <v>138</v>
      </c>
      <c r="B13" s="22" t="s">
        <v>93</v>
      </c>
      <c r="C13" s="23" t="s">
        <v>139</v>
      </c>
      <c r="D13" s="24" t="s">
        <v>140</v>
      </c>
      <c r="E13" s="11" t="s">
        <v>12</v>
      </c>
      <c r="F13" s="25" t="n">
        <f aca="false">IFERROR(VLOOKUP(E13,Variables!$A$6:$E$10,5,0),"")</f>
        <v>2</v>
      </c>
      <c r="G13" s="11" t="s">
        <v>21</v>
      </c>
      <c r="H13" s="25" t="n">
        <f aca="false">IFERROR(VLOOKUP(G13,Variables!$A$14:$E$18,5,0),"")</f>
        <v>3</v>
      </c>
      <c r="I13" s="11" t="str">
        <f aca="false">IF(B13="Oportunidad de Mejora","OM",IFERROR(CONCATENATE(F13,":",H13),""))</f>
        <v>2:3</v>
      </c>
      <c r="J13" s="11" t="str">
        <f aca="false">IFERROR(VLOOKUP(I13,Variables!$A$22:$B$47,2,FALSE()),"Por definir")</f>
        <v>MEDIO</v>
      </c>
      <c r="K13" s="23" t="s">
        <v>96</v>
      </c>
      <c r="L13" s="23" t="s">
        <v>141</v>
      </c>
      <c r="M13" s="11" t="n">
        <f aca="false">IF(I13="OM","N/A",IFERROR(F13*H13,""))</f>
        <v>6</v>
      </c>
      <c r="N13" s="23" t="s">
        <v>98</v>
      </c>
      <c r="O13" s="23" t="str">
        <f aca="false">IFERROR(VLOOKUP(J13,Variables!$A$51:$B$55,2,FALSE()),"")</f>
        <v>Riesgo manejable. Requiere medidas correctivas (60-90 días). Monitoreo trimestral.</v>
      </c>
    </row>
    <row r="14" customFormat="false" ht="103.5" hidden="false" customHeight="true" outlineLevel="0" collapsed="false">
      <c r="A14" s="15" t="s">
        <v>142</v>
      </c>
      <c r="B14" s="16" t="s">
        <v>93</v>
      </c>
      <c r="C14" s="17" t="s">
        <v>143</v>
      </c>
      <c r="D14" s="18" t="s">
        <v>144</v>
      </c>
      <c r="E14" s="19" t="s">
        <v>10</v>
      </c>
      <c r="F14" s="20" t="n">
        <f aca="false">IFERROR(VLOOKUP(E14,Variables!$A$6:$E$10,5,0),"")</f>
        <v>3</v>
      </c>
      <c r="G14" s="19" t="s">
        <v>21</v>
      </c>
      <c r="H14" s="20" t="n">
        <f aca="false">IFERROR(VLOOKUP(G14,Variables!$A$14:$E$18,5,0),"")</f>
        <v>3</v>
      </c>
      <c r="I14" s="19" t="str">
        <f aca="false">IF(B14="Oportunidad de Mejora","OM",IFERROR(CONCATENATE(F14,":",H14),""))</f>
        <v>3:3</v>
      </c>
      <c r="J14" s="19" t="str">
        <f aca="false">IFERROR(VLOOKUP(I14,Variables!$A$22:$B$47,2,FALSE()),"Por definir")</f>
        <v>MEDIO-ALTO</v>
      </c>
      <c r="K14" s="17" t="s">
        <v>96</v>
      </c>
      <c r="L14" s="17" t="s">
        <v>145</v>
      </c>
      <c r="M14" s="19" t="n">
        <f aca="false">IF(I14="OM","N/A",IFERROR(F14*H14,""))</f>
        <v>9</v>
      </c>
      <c r="N14" s="17" t="s">
        <v>146</v>
      </c>
      <c r="O14" s="17" t="str">
        <f aca="false">IFERROR(VLOOKUP(J14,Variables!$A$51:$B$55,2,FALSE()),"")</f>
        <v>Riesgo significativo. Requiere plan de acción formal (30-60 días). Monitoreo mensual.</v>
      </c>
    </row>
    <row r="15" customFormat="false" ht="103.5" hidden="false" customHeight="true" outlineLevel="0" collapsed="false">
      <c r="A15" s="21" t="s">
        <v>147</v>
      </c>
      <c r="B15" s="22" t="s">
        <v>93</v>
      </c>
      <c r="C15" s="23" t="s">
        <v>148</v>
      </c>
      <c r="D15" s="24" t="s">
        <v>149</v>
      </c>
      <c r="E15" s="11" t="s">
        <v>12</v>
      </c>
      <c r="F15" s="25" t="n">
        <f aca="false">IFERROR(VLOOKUP(E15,Variables!$A$6:$E$10,5,0),"")</f>
        <v>2</v>
      </c>
      <c r="G15" s="11" t="s">
        <v>21</v>
      </c>
      <c r="H15" s="25" t="n">
        <f aca="false">IFERROR(VLOOKUP(G15,Variables!$A$14:$E$18,5,0),"")</f>
        <v>3</v>
      </c>
      <c r="I15" s="11" t="str">
        <f aca="false">IF(B15="Oportunidad de Mejora","OM",IFERROR(CONCATENATE(F15,":",H15),""))</f>
        <v>2:3</v>
      </c>
      <c r="J15" s="11" t="str">
        <f aca="false">IFERROR(VLOOKUP(I15,Variables!$A$22:$B$47,2,FALSE()),"Por definir")</f>
        <v>MEDIO</v>
      </c>
      <c r="K15" s="23" t="s">
        <v>150</v>
      </c>
      <c r="L15" s="23" t="s">
        <v>151</v>
      </c>
      <c r="M15" s="11" t="n">
        <f aca="false">IF(I15="OM","N/A",IFERROR(F15*H15,""))</f>
        <v>6</v>
      </c>
      <c r="N15" s="23" t="s">
        <v>152</v>
      </c>
      <c r="O15" s="23" t="str">
        <f aca="false">IFERROR(VLOOKUP(J15,Variables!$A$51:$B$55,2,FALSE()),"")</f>
        <v>Riesgo manejable. Requiere medidas correctivas (60-90 días). Monitoreo trimestral.</v>
      </c>
    </row>
    <row r="16" customFormat="false" ht="90.75" hidden="false" customHeight="true" outlineLevel="0" collapsed="false">
      <c r="A16" s="15" t="s">
        <v>153</v>
      </c>
      <c r="B16" s="16" t="s">
        <v>93</v>
      </c>
      <c r="C16" s="17" t="s">
        <v>154</v>
      </c>
      <c r="D16" s="18" t="s">
        <v>121</v>
      </c>
      <c r="E16" s="19" t="s">
        <v>10</v>
      </c>
      <c r="F16" s="20" t="n">
        <f aca="false">IFERROR(VLOOKUP(E16,Variables!$A$6:$E$10,5,0),"")</f>
        <v>3</v>
      </c>
      <c r="G16" s="19" t="s">
        <v>23</v>
      </c>
      <c r="H16" s="20" t="n">
        <f aca="false">IFERROR(VLOOKUP(G16,Variables!$A$14:$E$18,5,0),"")</f>
        <v>2</v>
      </c>
      <c r="I16" s="19" t="str">
        <f aca="false">IF(B16="Oportunidad de Mejora","OM",IFERROR(CONCATENATE(F16,":",H16),""))</f>
        <v>3:2</v>
      </c>
      <c r="J16" s="19" t="str">
        <f aca="false">IFERROR(VLOOKUP(I16,Variables!$A$22:$B$47,2,FALSE()),"Por definir")</f>
        <v>MEDIO</v>
      </c>
      <c r="K16" s="17" t="s">
        <v>150</v>
      </c>
      <c r="L16" s="17" t="s">
        <v>155</v>
      </c>
      <c r="M16" s="19" t="n">
        <f aca="false">IF(I16="OM","N/A",IFERROR(F16*H16,""))</f>
        <v>6</v>
      </c>
      <c r="N16" s="17" t="s">
        <v>123</v>
      </c>
      <c r="O16" s="17" t="str">
        <f aca="false">IFERROR(VLOOKUP(J16,Variables!$A$51:$B$55,2,FALSE()),"")</f>
        <v>Riesgo manejable. Requiere medidas correctivas (60-90 días). Monitoreo trimestral.</v>
      </c>
    </row>
    <row r="17" customFormat="false" ht="78" hidden="false" customHeight="true" outlineLevel="0" collapsed="false">
      <c r="A17" s="21" t="s">
        <v>156</v>
      </c>
      <c r="B17" s="22" t="s">
        <v>93</v>
      </c>
      <c r="C17" s="23" t="s">
        <v>157</v>
      </c>
      <c r="D17" s="24" t="s">
        <v>121</v>
      </c>
      <c r="E17" s="11" t="s">
        <v>10</v>
      </c>
      <c r="F17" s="25" t="n">
        <f aca="false">IFERROR(VLOOKUP(E17,Variables!$A$6:$E$10,5,0),"")</f>
        <v>3</v>
      </c>
      <c r="G17" s="11" t="s">
        <v>23</v>
      </c>
      <c r="H17" s="25" t="n">
        <f aca="false">IFERROR(VLOOKUP(G17,Variables!$A$14:$E$18,5,0),"")</f>
        <v>2</v>
      </c>
      <c r="I17" s="11" t="str">
        <f aca="false">IF(B17="Oportunidad de Mejora","OM",IFERROR(CONCATENATE(F17,":",H17),""))</f>
        <v>3:2</v>
      </c>
      <c r="J17" s="11" t="str">
        <f aca="false">IFERROR(VLOOKUP(I17,Variables!$A$22:$B$47,2,FALSE()),"Por definir")</f>
        <v>MEDIO</v>
      </c>
      <c r="K17" s="23" t="s">
        <v>150</v>
      </c>
      <c r="L17" s="23" t="s">
        <v>158</v>
      </c>
      <c r="M17" s="11" t="n">
        <f aca="false">IF(I17="OM","N/A",IFERROR(F17*H17,""))</f>
        <v>6</v>
      </c>
      <c r="N17" s="23" t="s">
        <v>159</v>
      </c>
      <c r="O17" s="23" t="str">
        <f aca="false">IFERROR(VLOOKUP(J17,Variables!$A$51:$B$55,2,FALSE()),"")</f>
        <v>Riesgo manejable. Requiere medidas correctivas (60-90 días). Monitoreo trimestral.</v>
      </c>
    </row>
    <row r="18" customFormat="false" ht="90.75" hidden="false" customHeight="true" outlineLevel="0" collapsed="false">
      <c r="A18" s="15" t="s">
        <v>160</v>
      </c>
      <c r="B18" s="16" t="s">
        <v>93</v>
      </c>
      <c r="C18" s="17" t="s">
        <v>161</v>
      </c>
      <c r="D18" s="18" t="s">
        <v>162</v>
      </c>
      <c r="E18" s="19" t="s">
        <v>10</v>
      </c>
      <c r="F18" s="20" t="n">
        <f aca="false">IFERROR(VLOOKUP(E18,Variables!$A$6:$E$10,5,0),"")</f>
        <v>3</v>
      </c>
      <c r="G18" s="19" t="s">
        <v>21</v>
      </c>
      <c r="H18" s="20" t="n">
        <f aca="false">IFERROR(VLOOKUP(G18,Variables!$A$14:$E$18,5,0),"")</f>
        <v>3</v>
      </c>
      <c r="I18" s="19" t="str">
        <f aca="false">IF(B18="Oportunidad de Mejora","OM",IFERROR(CONCATENATE(F18,":",H18),""))</f>
        <v>3:3</v>
      </c>
      <c r="J18" s="19" t="str">
        <f aca="false">IFERROR(VLOOKUP(I18,Variables!$A$22:$B$47,2,FALSE()),"Por definir")</f>
        <v>MEDIO-ALTO</v>
      </c>
      <c r="K18" s="17" t="s">
        <v>150</v>
      </c>
      <c r="L18" s="17" t="s">
        <v>163</v>
      </c>
      <c r="M18" s="19" t="n">
        <f aca="false">IF(I18="OM","N/A",IFERROR(F18*H18,""))</f>
        <v>9</v>
      </c>
      <c r="N18" s="17" t="s">
        <v>159</v>
      </c>
      <c r="O18" s="17" t="str">
        <f aca="false">IFERROR(VLOOKUP(J18,Variables!$A$51:$B$55,2,FALSE()),"")</f>
        <v>Riesgo significativo. Requiere plan de acción formal (30-60 días). Monitoreo mensual.</v>
      </c>
    </row>
    <row r="19" customFormat="false" ht="90.75" hidden="false" customHeight="true" outlineLevel="0" collapsed="false">
      <c r="A19" s="21" t="s">
        <v>164</v>
      </c>
      <c r="B19" s="22" t="s">
        <v>93</v>
      </c>
      <c r="C19" s="23" t="s">
        <v>165</v>
      </c>
      <c r="D19" s="24" t="s">
        <v>166</v>
      </c>
      <c r="E19" s="11" t="s">
        <v>12</v>
      </c>
      <c r="F19" s="25" t="n">
        <f aca="false">IFERROR(VLOOKUP(E19,Variables!$A$6:$E$10,5,0),"")</f>
        <v>2</v>
      </c>
      <c r="G19" s="11" t="s">
        <v>21</v>
      </c>
      <c r="H19" s="25" t="n">
        <f aca="false">IFERROR(VLOOKUP(G19,Variables!$A$14:$E$18,5,0),"")</f>
        <v>3</v>
      </c>
      <c r="I19" s="11" t="str">
        <f aca="false">IF(B19="Oportunidad de Mejora","OM",IFERROR(CONCATENATE(F19,":",H19),""))</f>
        <v>2:3</v>
      </c>
      <c r="J19" s="11" t="str">
        <f aca="false">IFERROR(VLOOKUP(I19,Variables!$A$22:$B$47,2,FALSE()),"Por definir")</f>
        <v>MEDIO</v>
      </c>
      <c r="K19" s="23" t="s">
        <v>150</v>
      </c>
      <c r="L19" s="23" t="s">
        <v>167</v>
      </c>
      <c r="M19" s="11" t="n">
        <f aca="false">IF(I19="OM","N/A",IFERROR(F19*H19,""))</f>
        <v>6</v>
      </c>
      <c r="N19" s="23" t="s">
        <v>168</v>
      </c>
      <c r="O19" s="23" t="str">
        <f aca="false">IFERROR(VLOOKUP(J19,Variables!$A$51:$B$55,2,FALSE()),"")</f>
        <v>Riesgo manejable. Requiere medidas correctivas (60-90 días). Monitoreo trimestral.</v>
      </c>
    </row>
    <row r="20" customFormat="false" ht="64.5" hidden="false" customHeight="true" outlineLevel="0" collapsed="false">
      <c r="A20" s="15" t="s">
        <v>169</v>
      </c>
      <c r="B20" s="16" t="s">
        <v>93</v>
      </c>
      <c r="C20" s="17" t="s">
        <v>170</v>
      </c>
      <c r="D20" s="18" t="s">
        <v>171</v>
      </c>
      <c r="E20" s="19" t="s">
        <v>10</v>
      </c>
      <c r="F20" s="20" t="n">
        <f aca="false">IFERROR(VLOOKUP(E20,Variables!$A$6:$E$10,5,0),"")</f>
        <v>3</v>
      </c>
      <c r="G20" s="19" t="s">
        <v>23</v>
      </c>
      <c r="H20" s="20" t="n">
        <f aca="false">IFERROR(VLOOKUP(G20,Variables!$A$14:$E$18,5,0),"")</f>
        <v>2</v>
      </c>
      <c r="I20" s="19" t="str">
        <f aca="false">IF(B20="Oportunidad de Mejora","OM",IFERROR(CONCATENATE(F20,":",H20),""))</f>
        <v>3:2</v>
      </c>
      <c r="J20" s="19" t="str">
        <f aca="false">IFERROR(VLOOKUP(I20,Variables!$A$22:$B$47,2,FALSE()),"Por definir")</f>
        <v>MEDIO</v>
      </c>
      <c r="K20" s="17" t="s">
        <v>150</v>
      </c>
      <c r="L20" s="17" t="s">
        <v>172</v>
      </c>
      <c r="M20" s="19" t="n">
        <f aca="false">IF(I20="OM","N/A",IFERROR(F20*H20,""))</f>
        <v>6</v>
      </c>
      <c r="N20" s="17" t="s">
        <v>159</v>
      </c>
      <c r="O20" s="17" t="str">
        <f aca="false">IFERROR(VLOOKUP(J20,Variables!$A$51:$B$55,2,FALSE()),"")</f>
        <v>Riesgo manejable. Requiere medidas correctivas (60-90 días). Monitoreo trimestral.</v>
      </c>
    </row>
    <row r="21" customFormat="false" ht="64.5" hidden="false" customHeight="true" outlineLevel="0" collapsed="false">
      <c r="A21" s="21" t="s">
        <v>173</v>
      </c>
      <c r="B21" s="22" t="s">
        <v>93</v>
      </c>
      <c r="C21" s="23" t="s">
        <v>174</v>
      </c>
      <c r="D21" s="24" t="s">
        <v>121</v>
      </c>
      <c r="E21" s="11" t="s">
        <v>10</v>
      </c>
      <c r="F21" s="25" t="n">
        <f aca="false">IFERROR(VLOOKUP(E21,Variables!$A$6:$E$10,5,0),"")</f>
        <v>3</v>
      </c>
      <c r="G21" s="11" t="s">
        <v>21</v>
      </c>
      <c r="H21" s="25" t="n">
        <f aca="false">IFERROR(VLOOKUP(G21,Variables!$A$14:$E$18,5,0),"")</f>
        <v>3</v>
      </c>
      <c r="I21" s="11" t="str">
        <f aca="false">IF(B21="Oportunidad de Mejora","OM",IFERROR(CONCATENATE(F21,":",H21),""))</f>
        <v>3:3</v>
      </c>
      <c r="J21" s="11" t="str">
        <f aca="false">IFERROR(VLOOKUP(I21,Variables!$A$22:$B$47,2,FALSE()),"Por definir")</f>
        <v>MEDIO-ALTO</v>
      </c>
      <c r="K21" s="23" t="s">
        <v>150</v>
      </c>
      <c r="L21" s="23" t="s">
        <v>175</v>
      </c>
      <c r="M21" s="11" t="n">
        <f aca="false">IF(I21="OM","N/A",IFERROR(F21*H21,""))</f>
        <v>9</v>
      </c>
      <c r="N21" s="23" t="s">
        <v>176</v>
      </c>
      <c r="O21" s="23" t="str">
        <f aca="false">IFERROR(VLOOKUP(J21,Variables!$A$51:$B$55,2,FALSE()),"")</f>
        <v>Riesgo significativo. Requiere plan de acción formal (30-60 días). Monitoreo mensual.</v>
      </c>
    </row>
    <row r="22" customFormat="false" ht="60" hidden="false" customHeight="true" outlineLevel="0" collapsed="false">
      <c r="A22" s="15" t="s">
        <v>177</v>
      </c>
      <c r="B22" s="16" t="s">
        <v>93</v>
      </c>
      <c r="C22" s="17" t="s">
        <v>178</v>
      </c>
      <c r="D22" s="18" t="s">
        <v>121</v>
      </c>
      <c r="E22" s="19" t="s">
        <v>12</v>
      </c>
      <c r="F22" s="20" t="n">
        <f aca="false">IFERROR(VLOOKUP(E22,Variables!$A$6:$E$10,5,0),"")</f>
        <v>2</v>
      </c>
      <c r="G22" s="19" t="s">
        <v>23</v>
      </c>
      <c r="H22" s="20" t="n">
        <f aca="false">IFERROR(VLOOKUP(G22,Variables!$A$14:$E$18,5,0),"")</f>
        <v>2</v>
      </c>
      <c r="I22" s="19" t="str">
        <f aca="false">IF(B22="Oportunidad de Mejora","OM",IFERROR(CONCATENATE(F22,":",H22),""))</f>
        <v>2:2</v>
      </c>
      <c r="J22" s="19" t="str">
        <f aca="false">IFERROR(VLOOKUP(I22,Variables!$A$22:$B$47,2,FALSE()),"Por definir")</f>
        <v>MEDIO</v>
      </c>
      <c r="K22" s="17" t="s">
        <v>150</v>
      </c>
      <c r="L22" s="17" t="s">
        <v>179</v>
      </c>
      <c r="M22" s="19" t="n">
        <f aca="false">IF(I22="OM","N/A",IFERROR(F22*H22,""))</f>
        <v>4</v>
      </c>
      <c r="N22" s="17" t="s">
        <v>159</v>
      </c>
      <c r="O22" s="17" t="str">
        <f aca="false">IFERROR(VLOOKUP(J22,Variables!$A$51:$B$55,2,FALSE()),"")</f>
        <v>Riesgo manejable. Requiere medidas correctivas (60-90 días). Monitoreo trimestral.</v>
      </c>
    </row>
    <row r="23" customFormat="false" ht="64.5" hidden="false" customHeight="true" outlineLevel="0" collapsed="false">
      <c r="A23" s="21" t="s">
        <v>180</v>
      </c>
      <c r="B23" s="22" t="s">
        <v>93</v>
      </c>
      <c r="C23" s="23" t="s">
        <v>181</v>
      </c>
      <c r="D23" s="24" t="s">
        <v>136</v>
      </c>
      <c r="E23" s="11" t="s">
        <v>14</v>
      </c>
      <c r="F23" s="25" t="n">
        <f aca="false">IFERROR(VLOOKUP(E23,Variables!$A$6:$E$10,5,0),"")</f>
        <v>1</v>
      </c>
      <c r="G23" s="11" t="s">
        <v>23</v>
      </c>
      <c r="H23" s="25" t="n">
        <f aca="false">IFERROR(VLOOKUP(G23,Variables!$A$14:$E$18,5,0),"")</f>
        <v>2</v>
      </c>
      <c r="I23" s="11" t="str">
        <f aca="false">IF(B23="Oportunidad de Mejora","OM",IFERROR(CONCATENATE(F23,":",H23),""))</f>
        <v>1:2</v>
      </c>
      <c r="J23" s="11" t="str">
        <f aca="false">IFERROR(VLOOKUP(I23,Variables!$A$22:$B$47,2,FALSE()),"Por definir")</f>
        <v>BAJO</v>
      </c>
      <c r="K23" s="23" t="s">
        <v>150</v>
      </c>
      <c r="L23" s="23" t="s">
        <v>182</v>
      </c>
      <c r="M23" s="11" t="n">
        <f aca="false">IF(I23="OM","N/A",IFERROR(F23*H23,""))</f>
        <v>2</v>
      </c>
      <c r="N23" s="23" t="s">
        <v>159</v>
      </c>
      <c r="O23" s="23" t="str">
        <f aca="false">IFERROR(VLOOKUP(J23,Variables!$A$51:$B$55,2,FALSE()),"")</f>
        <v>Riesgo aceptable. Controles mínimos son suficientes. Monitoreo semestral.</v>
      </c>
    </row>
    <row r="24" customFormat="false" ht="64.5" hidden="false" customHeight="true" outlineLevel="0" collapsed="false">
      <c r="A24" s="15" t="s">
        <v>183</v>
      </c>
      <c r="B24" s="16" t="s">
        <v>93</v>
      </c>
      <c r="C24" s="17" t="s">
        <v>184</v>
      </c>
      <c r="D24" s="18" t="s">
        <v>185</v>
      </c>
      <c r="E24" s="19" t="s">
        <v>12</v>
      </c>
      <c r="F24" s="20" t="n">
        <f aca="false">IFERROR(VLOOKUP(E24,Variables!$A$6:$E$10,5,0),"")</f>
        <v>2</v>
      </c>
      <c r="G24" s="19" t="s">
        <v>21</v>
      </c>
      <c r="H24" s="20" t="n">
        <f aca="false">IFERROR(VLOOKUP(G24,Variables!$A$14:$E$18,5,0),"")</f>
        <v>3</v>
      </c>
      <c r="I24" s="19" t="str">
        <f aca="false">IF(B24="Oportunidad de Mejora","OM",IFERROR(CONCATENATE(F24,":",H24),""))</f>
        <v>2:3</v>
      </c>
      <c r="J24" s="19" t="str">
        <f aca="false">IFERROR(VLOOKUP(I24,Variables!$A$22:$B$47,2,FALSE()),"Por definir")</f>
        <v>MEDIO</v>
      </c>
      <c r="K24" s="17" t="s">
        <v>150</v>
      </c>
      <c r="L24" s="17" t="s">
        <v>186</v>
      </c>
      <c r="M24" s="19" t="n">
        <f aca="false">IF(I24="OM","N/A",IFERROR(F24*H24,""))</f>
        <v>6</v>
      </c>
      <c r="N24" s="17" t="s">
        <v>159</v>
      </c>
      <c r="O24" s="17" t="str">
        <f aca="false">IFERROR(VLOOKUP(J24,Variables!$A$51:$B$55,2,FALSE()),"")</f>
        <v>Riesgo manejable. Requiere medidas correctivas (60-90 días). Monitoreo trimestral.</v>
      </c>
    </row>
    <row r="25" customFormat="false" ht="90.75" hidden="false" customHeight="true" outlineLevel="0" collapsed="false">
      <c r="A25" s="21" t="s">
        <v>187</v>
      </c>
      <c r="B25" s="22" t="s">
        <v>93</v>
      </c>
      <c r="C25" s="23" t="s">
        <v>188</v>
      </c>
      <c r="D25" s="24" t="s">
        <v>189</v>
      </c>
      <c r="E25" s="11" t="s">
        <v>10</v>
      </c>
      <c r="F25" s="25" t="n">
        <f aca="false">IFERROR(VLOOKUP(E25,Variables!$A$6:$E$10,5,0),"")</f>
        <v>3</v>
      </c>
      <c r="G25" s="11" t="s">
        <v>23</v>
      </c>
      <c r="H25" s="25" t="n">
        <f aca="false">IFERROR(VLOOKUP(G25,Variables!$A$14:$E$18,5,0),"")</f>
        <v>2</v>
      </c>
      <c r="I25" s="11" t="str">
        <f aca="false">IF(B25="Oportunidad de Mejora","OM",IFERROR(CONCATENATE(F25,":",H25),""))</f>
        <v>3:2</v>
      </c>
      <c r="J25" s="11" t="str">
        <f aca="false">IFERROR(VLOOKUP(I25,Variables!$A$22:$B$47,2,FALSE()),"Por definir")</f>
        <v>MEDIO</v>
      </c>
      <c r="K25" s="23" t="s">
        <v>190</v>
      </c>
      <c r="L25" s="23" t="s">
        <v>191</v>
      </c>
      <c r="M25" s="11" t="n">
        <f aca="false">IF(I25="OM","N/A",IFERROR(F25*H25,""))</f>
        <v>6</v>
      </c>
      <c r="N25" s="23" t="s">
        <v>146</v>
      </c>
      <c r="O25" s="23" t="str">
        <f aca="false">IFERROR(VLOOKUP(J25,Variables!$A$51:$B$55,2,FALSE()),"")</f>
        <v>Riesgo manejable. Requiere medidas correctivas (60-90 días). Monitoreo trimestral.</v>
      </c>
    </row>
    <row r="26" customFormat="false" ht="78" hidden="false" customHeight="true" outlineLevel="0" collapsed="false">
      <c r="A26" s="15" t="s">
        <v>192</v>
      </c>
      <c r="B26" s="16" t="s">
        <v>93</v>
      </c>
      <c r="C26" s="17" t="s">
        <v>193</v>
      </c>
      <c r="D26" s="18" t="s">
        <v>194</v>
      </c>
      <c r="E26" s="19" t="s">
        <v>10</v>
      </c>
      <c r="F26" s="20" t="n">
        <f aca="false">IFERROR(VLOOKUP(E26,Variables!$A$6:$E$10,5,0),"")</f>
        <v>3</v>
      </c>
      <c r="G26" s="19" t="s">
        <v>23</v>
      </c>
      <c r="H26" s="20" t="n">
        <f aca="false">IFERROR(VLOOKUP(G26,Variables!$A$14:$E$18,5,0),"")</f>
        <v>2</v>
      </c>
      <c r="I26" s="19" t="str">
        <f aca="false">IF(B26="Oportunidad de Mejora","OM",IFERROR(CONCATENATE(F26,":",H26),""))</f>
        <v>3:2</v>
      </c>
      <c r="J26" s="19" t="str">
        <f aca="false">IFERROR(VLOOKUP(I26,Variables!$A$22:$B$47,2,FALSE()),"Por definir")</f>
        <v>MEDIO</v>
      </c>
      <c r="K26" s="17" t="s">
        <v>190</v>
      </c>
      <c r="L26" s="17" t="s">
        <v>195</v>
      </c>
      <c r="M26" s="19" t="n">
        <f aca="false">IF(I26="OM","N/A",IFERROR(F26*H26,""))</f>
        <v>6</v>
      </c>
      <c r="N26" s="17" t="s">
        <v>108</v>
      </c>
      <c r="O26" s="17" t="str">
        <f aca="false">IFERROR(VLOOKUP(J26,Variables!$A$51:$B$55,2,FALSE()),"")</f>
        <v>Riesgo manejable. Requiere medidas correctivas (60-90 días). Monitoreo trimestral.</v>
      </c>
    </row>
    <row r="27" customFormat="false" ht="78" hidden="false" customHeight="true" outlineLevel="0" collapsed="false">
      <c r="A27" s="21" t="s">
        <v>196</v>
      </c>
      <c r="B27" s="22" t="s">
        <v>93</v>
      </c>
      <c r="C27" s="23" t="s">
        <v>197</v>
      </c>
      <c r="D27" s="24" t="s">
        <v>198</v>
      </c>
      <c r="E27" s="11" t="s">
        <v>12</v>
      </c>
      <c r="F27" s="25" t="n">
        <f aca="false">IFERROR(VLOOKUP(E27,Variables!$A$6:$E$10,5,0),"")</f>
        <v>2</v>
      </c>
      <c r="G27" s="11" t="s">
        <v>23</v>
      </c>
      <c r="H27" s="25" t="n">
        <f aca="false">IFERROR(VLOOKUP(G27,Variables!$A$14:$E$18,5,0),"")</f>
        <v>2</v>
      </c>
      <c r="I27" s="11" t="str">
        <f aca="false">IF(B27="Oportunidad de Mejora","OM",IFERROR(CONCATENATE(F27,":",H27),""))</f>
        <v>2:2</v>
      </c>
      <c r="J27" s="11" t="str">
        <f aca="false">IFERROR(VLOOKUP(I27,Variables!$A$22:$B$47,2,FALSE()),"Por definir")</f>
        <v>MEDIO</v>
      </c>
      <c r="K27" s="23" t="s">
        <v>190</v>
      </c>
      <c r="L27" s="23" t="s">
        <v>199</v>
      </c>
      <c r="M27" s="11" t="n">
        <f aca="false">IF(I27="OM","N/A",IFERROR(F27*H27,""))</f>
        <v>4</v>
      </c>
      <c r="N27" s="23" t="s">
        <v>146</v>
      </c>
      <c r="O27" s="23" t="str">
        <f aca="false">IFERROR(VLOOKUP(J27,Variables!$A$51:$B$55,2,FALSE()),"")</f>
        <v>Riesgo manejable. Requiere medidas correctivas (60-90 días). Monitoreo trimestral.</v>
      </c>
    </row>
    <row r="28" customFormat="false" ht="60" hidden="false" customHeight="true" outlineLevel="0" collapsed="false">
      <c r="A28" s="15" t="s">
        <v>200</v>
      </c>
      <c r="B28" s="16" t="s">
        <v>93</v>
      </c>
      <c r="C28" s="17" t="s">
        <v>201</v>
      </c>
      <c r="D28" s="18" t="s">
        <v>121</v>
      </c>
      <c r="E28" s="19" t="s">
        <v>10</v>
      </c>
      <c r="F28" s="20" t="n">
        <f aca="false">IFERROR(VLOOKUP(E28,Variables!$A$6:$E$10,5,0),"")</f>
        <v>3</v>
      </c>
      <c r="G28" s="19" t="s">
        <v>23</v>
      </c>
      <c r="H28" s="20" t="n">
        <f aca="false">IFERROR(VLOOKUP(G28,Variables!$A$14:$E$18,5,0),"")</f>
        <v>2</v>
      </c>
      <c r="I28" s="19" t="str">
        <f aca="false">IF(B28="Oportunidad de Mejora","OM",IFERROR(CONCATENATE(F28,":",H28),""))</f>
        <v>3:2</v>
      </c>
      <c r="J28" s="19" t="str">
        <f aca="false">IFERROR(VLOOKUP(I28,Variables!$A$22:$B$47,2,FALSE()),"Por definir")</f>
        <v>MEDIO</v>
      </c>
      <c r="K28" s="17" t="s">
        <v>190</v>
      </c>
      <c r="L28" s="17" t="s">
        <v>202</v>
      </c>
      <c r="M28" s="19" t="n">
        <f aca="false">IF(I28="OM","N/A",IFERROR(F28*H28,""))</f>
        <v>6</v>
      </c>
      <c r="N28" s="17" t="s">
        <v>203</v>
      </c>
      <c r="O28" s="17" t="str">
        <f aca="false">IFERROR(VLOOKUP(J28,Variables!$A$51:$B$55,2,FALSE()),"")</f>
        <v>Riesgo manejable. Requiere medidas correctivas (60-90 días). Monitoreo trimestral.</v>
      </c>
    </row>
    <row r="29" customFormat="false" ht="64.5" hidden="false" customHeight="true" outlineLevel="0" collapsed="false">
      <c r="A29" s="21" t="s">
        <v>204</v>
      </c>
      <c r="B29" s="22" t="s">
        <v>93</v>
      </c>
      <c r="C29" s="23" t="s">
        <v>205</v>
      </c>
      <c r="D29" s="24" t="s">
        <v>206</v>
      </c>
      <c r="E29" s="11" t="s">
        <v>10</v>
      </c>
      <c r="F29" s="25" t="n">
        <f aca="false">IFERROR(VLOOKUP(E29,Variables!$A$6:$E$10,5,0),"")</f>
        <v>3</v>
      </c>
      <c r="G29" s="11" t="s">
        <v>21</v>
      </c>
      <c r="H29" s="25" t="n">
        <f aca="false">IFERROR(VLOOKUP(G29,Variables!$A$14:$E$18,5,0),"")</f>
        <v>3</v>
      </c>
      <c r="I29" s="11" t="str">
        <f aca="false">IF(B29="Oportunidad de Mejora","OM",IFERROR(CONCATENATE(F29,":",H29),""))</f>
        <v>3:3</v>
      </c>
      <c r="J29" s="11" t="str">
        <f aca="false">IFERROR(VLOOKUP(I29,Variables!$A$22:$B$47,2,FALSE()),"Por definir")</f>
        <v>MEDIO-ALTO</v>
      </c>
      <c r="K29" s="23" t="s">
        <v>190</v>
      </c>
      <c r="L29" s="23" t="s">
        <v>207</v>
      </c>
      <c r="M29" s="11" t="n">
        <f aca="false">IF(I29="OM","N/A",IFERROR(F29*H29,""))</f>
        <v>9</v>
      </c>
      <c r="N29" s="23" t="s">
        <v>208</v>
      </c>
      <c r="O29" s="23" t="str">
        <f aca="false">IFERROR(VLOOKUP(J29,Variables!$A$51:$B$55,2,FALSE()),"")</f>
        <v>Riesgo significativo. Requiere plan de acción formal (30-60 días). Monitoreo mensual.</v>
      </c>
    </row>
    <row r="30" customFormat="false" ht="90.75" hidden="false" customHeight="true" outlineLevel="0" collapsed="false">
      <c r="A30" s="15" t="s">
        <v>209</v>
      </c>
      <c r="B30" s="16" t="s">
        <v>93</v>
      </c>
      <c r="C30" s="17" t="s">
        <v>210</v>
      </c>
      <c r="D30" s="18" t="s">
        <v>211</v>
      </c>
      <c r="E30" s="19" t="s">
        <v>10</v>
      </c>
      <c r="F30" s="20" t="n">
        <f aca="false">IFERROR(VLOOKUP(E30,Variables!$A$6:$E$10,5,0),"")</f>
        <v>3</v>
      </c>
      <c r="G30" s="19" t="s">
        <v>21</v>
      </c>
      <c r="H30" s="20" t="n">
        <f aca="false">IFERROR(VLOOKUP(G30,Variables!$A$14:$E$18,5,0),"")</f>
        <v>3</v>
      </c>
      <c r="I30" s="19" t="str">
        <f aca="false">IF(B30="Oportunidad de Mejora","OM",IFERROR(CONCATENATE(F30,":",H30),""))</f>
        <v>3:3</v>
      </c>
      <c r="J30" s="19" t="str">
        <f aca="false">IFERROR(VLOOKUP(I30,Variables!$A$22:$B$47,2,FALSE()),"Por definir")</f>
        <v>MEDIO-ALTO</v>
      </c>
      <c r="K30" s="17" t="s">
        <v>190</v>
      </c>
      <c r="L30" s="17" t="s">
        <v>212</v>
      </c>
      <c r="M30" s="19" t="n">
        <f aca="false">IF(I30="OM","N/A",IFERROR(F30*H30,""))</f>
        <v>9</v>
      </c>
      <c r="N30" s="17" t="s">
        <v>213</v>
      </c>
      <c r="O30" s="17" t="str">
        <f aca="false">IFERROR(VLOOKUP(J30,Variables!$A$51:$B$55,2,FALSE()),"")</f>
        <v>Riesgo significativo. Requiere plan de acción formal (30-60 días). Monitoreo mensual.</v>
      </c>
    </row>
    <row r="31" customFormat="false" ht="78" hidden="false" customHeight="true" outlineLevel="0" collapsed="false">
      <c r="A31" s="21" t="s">
        <v>214</v>
      </c>
      <c r="B31" s="22" t="s">
        <v>93</v>
      </c>
      <c r="C31" s="23" t="s">
        <v>215</v>
      </c>
      <c r="D31" s="24" t="s">
        <v>216</v>
      </c>
      <c r="E31" s="11" t="s">
        <v>8</v>
      </c>
      <c r="F31" s="25" t="n">
        <f aca="false">IFERROR(VLOOKUP(E31,Variables!$A$6:$E$10,5,0),"")</f>
        <v>4</v>
      </c>
      <c r="G31" s="11" t="s">
        <v>19</v>
      </c>
      <c r="H31" s="25" t="n">
        <f aca="false">IFERROR(VLOOKUP(G31,Variables!$A$14:$E$18,5,0),"")</f>
        <v>4</v>
      </c>
      <c r="I31" s="11" t="str">
        <f aca="false">IF(B31="Oportunidad de Mejora","OM",IFERROR(CONCATENATE(F31,":",H31),""))</f>
        <v>4:4</v>
      </c>
      <c r="J31" s="11" t="str">
        <f aca="false">IFERROR(VLOOKUP(I31,Variables!$A$22:$B$47,2,FALSE()),"Por definir")</f>
        <v>CRÍTICO</v>
      </c>
      <c r="K31" s="23" t="s">
        <v>217</v>
      </c>
      <c r="L31" s="23" t="s">
        <v>218</v>
      </c>
      <c r="M31" s="11" t="n">
        <f aca="false">IF(I31="OM","N/A",IFERROR(F31*H31,""))</f>
        <v>16</v>
      </c>
      <c r="N31" s="23" t="s">
        <v>176</v>
      </c>
      <c r="O31" s="23" t="str">
        <f aca="false">IFERROR(VLOOKUP(J31,Variables!$A$51:$B$55,2,FALSE()),"")</f>
        <v>Riesgo inaceptable. Acción inmediata (0-30 días). Reporte obligatorio a JD y Oficial de Cumplimiento.</v>
      </c>
    </row>
    <row r="32" customFormat="false" ht="60" hidden="false" customHeight="true" outlineLevel="0" collapsed="false">
      <c r="A32" s="15" t="s">
        <v>219</v>
      </c>
      <c r="B32" s="16" t="s">
        <v>93</v>
      </c>
      <c r="C32" s="17" t="s">
        <v>220</v>
      </c>
      <c r="D32" s="18" t="s">
        <v>121</v>
      </c>
      <c r="E32" s="19" t="s">
        <v>12</v>
      </c>
      <c r="F32" s="20" t="n">
        <f aca="false">IFERROR(VLOOKUP(E32,Variables!$A$6:$E$10,5,0),"")</f>
        <v>2</v>
      </c>
      <c r="G32" s="19" t="s">
        <v>23</v>
      </c>
      <c r="H32" s="20" t="n">
        <f aca="false">IFERROR(VLOOKUP(G32,Variables!$A$14:$E$18,5,0),"")</f>
        <v>2</v>
      </c>
      <c r="I32" s="19" t="str">
        <f aca="false">IF(B32="Oportunidad de Mejora","OM",IFERROR(CONCATENATE(F32,":",H32),""))</f>
        <v>2:2</v>
      </c>
      <c r="J32" s="19" t="str">
        <f aca="false">IFERROR(VLOOKUP(I32,Variables!$A$22:$B$47,2,FALSE()),"Por definir")</f>
        <v>MEDIO</v>
      </c>
      <c r="K32" s="17" t="s">
        <v>217</v>
      </c>
      <c r="L32" s="17" t="s">
        <v>175</v>
      </c>
      <c r="M32" s="19" t="n">
        <f aca="false">IF(I32="OM","N/A",IFERROR(F32*H32,""))</f>
        <v>4</v>
      </c>
      <c r="N32" s="17" t="s">
        <v>176</v>
      </c>
      <c r="O32" s="17" t="str">
        <f aca="false">IFERROR(VLOOKUP(J32,Variables!$A$51:$B$55,2,FALSE()),"")</f>
        <v>Riesgo manejable. Requiere medidas correctivas (60-90 días). Monitoreo trimestral.</v>
      </c>
    </row>
    <row r="33" customFormat="false" ht="78" hidden="false" customHeight="true" outlineLevel="0" collapsed="false">
      <c r="A33" s="21" t="s">
        <v>221</v>
      </c>
      <c r="B33" s="22" t="s">
        <v>93</v>
      </c>
      <c r="C33" s="23" t="s">
        <v>222</v>
      </c>
      <c r="D33" s="24" t="s">
        <v>223</v>
      </c>
      <c r="E33" s="11" t="s">
        <v>10</v>
      </c>
      <c r="F33" s="25" t="n">
        <f aca="false">IFERROR(VLOOKUP(E33,Variables!$A$6:$E$10,5,0),"")</f>
        <v>3</v>
      </c>
      <c r="G33" s="11" t="s">
        <v>21</v>
      </c>
      <c r="H33" s="25" t="n">
        <f aca="false">IFERROR(VLOOKUP(G33,Variables!$A$14:$E$18,5,0),"")</f>
        <v>3</v>
      </c>
      <c r="I33" s="11" t="str">
        <f aca="false">IF(B33="Oportunidad de Mejora","OM",IFERROR(CONCATENATE(F33,":",H33),""))</f>
        <v>3:3</v>
      </c>
      <c r="J33" s="11" t="str">
        <f aca="false">IFERROR(VLOOKUP(I33,Variables!$A$22:$B$47,2,FALSE()),"Por definir")</f>
        <v>MEDIO-ALTO</v>
      </c>
      <c r="K33" s="23" t="s">
        <v>217</v>
      </c>
      <c r="L33" s="23" t="s">
        <v>224</v>
      </c>
      <c r="M33" s="11" t="n">
        <f aca="false">IF(I33="OM","N/A",IFERROR(F33*H33,""))</f>
        <v>9</v>
      </c>
      <c r="N33" s="23" t="s">
        <v>225</v>
      </c>
      <c r="O33" s="23" t="str">
        <f aca="false">IFERROR(VLOOKUP(J33,Variables!$A$51:$B$55,2,FALSE()),"")</f>
        <v>Riesgo significativo. Requiere plan de acción formal (30-60 días). Monitoreo mensual.</v>
      </c>
    </row>
    <row r="34" customFormat="false" ht="90.75" hidden="false" customHeight="true" outlineLevel="0" collapsed="false">
      <c r="A34" s="15" t="s">
        <v>226</v>
      </c>
      <c r="B34" s="16" t="s">
        <v>93</v>
      </c>
      <c r="C34" s="17" t="s">
        <v>227</v>
      </c>
      <c r="D34" s="18" t="s">
        <v>228</v>
      </c>
      <c r="E34" s="19" t="s">
        <v>8</v>
      </c>
      <c r="F34" s="20" t="n">
        <f aca="false">IFERROR(VLOOKUP(E34,Variables!$A$6:$E$10,5,0),"")</f>
        <v>4</v>
      </c>
      <c r="G34" s="19" t="s">
        <v>21</v>
      </c>
      <c r="H34" s="20" t="n">
        <f aca="false">IFERROR(VLOOKUP(G34,Variables!$A$14:$E$18,5,0),"")</f>
        <v>3</v>
      </c>
      <c r="I34" s="19" t="str">
        <f aca="false">IF(B34="Oportunidad de Mejora","OM",IFERROR(CONCATENATE(F34,":",H34),""))</f>
        <v>4:3</v>
      </c>
      <c r="J34" s="19" t="str">
        <f aca="false">IFERROR(VLOOKUP(I34,Variables!$A$22:$B$47,2,FALSE()),"Por definir")</f>
        <v>MEDIO-ALTO</v>
      </c>
      <c r="K34" s="17" t="s">
        <v>217</v>
      </c>
      <c r="L34" s="17" t="s">
        <v>229</v>
      </c>
      <c r="M34" s="19" t="n">
        <f aca="false">IF(I34="OM","N/A",IFERROR(F34*H34,""))</f>
        <v>12</v>
      </c>
      <c r="N34" s="17" t="s">
        <v>225</v>
      </c>
      <c r="O34" s="17" t="str">
        <f aca="false">IFERROR(VLOOKUP(J34,Variables!$A$51:$B$55,2,FALSE()),"")</f>
        <v>Riesgo significativo. Requiere plan de acción formal (30-60 días). Monitoreo mensual.</v>
      </c>
    </row>
    <row r="35" customFormat="false" ht="78" hidden="false" customHeight="true" outlineLevel="0" collapsed="false">
      <c r="A35" s="21" t="s">
        <v>230</v>
      </c>
      <c r="B35" s="22" t="s">
        <v>93</v>
      </c>
      <c r="C35" s="23" t="s">
        <v>231</v>
      </c>
      <c r="D35" s="24" t="s">
        <v>136</v>
      </c>
      <c r="E35" s="11" t="s">
        <v>10</v>
      </c>
      <c r="F35" s="25" t="n">
        <f aca="false">IFERROR(VLOOKUP(E35,Variables!$A$6:$E$10,5,0),"")</f>
        <v>3</v>
      </c>
      <c r="G35" s="11" t="s">
        <v>21</v>
      </c>
      <c r="H35" s="25" t="n">
        <f aca="false">IFERROR(VLOOKUP(G35,Variables!$A$14:$E$18,5,0),"")</f>
        <v>3</v>
      </c>
      <c r="I35" s="11" t="str">
        <f aca="false">IF(B35="Oportunidad de Mejora","OM",IFERROR(CONCATENATE(F35,":",H35),""))</f>
        <v>3:3</v>
      </c>
      <c r="J35" s="11" t="str">
        <f aca="false">IFERROR(VLOOKUP(I35,Variables!$A$22:$B$47,2,FALSE()),"Por definir")</f>
        <v>MEDIO-ALTO</v>
      </c>
      <c r="K35" s="23" t="s">
        <v>217</v>
      </c>
      <c r="L35" s="23" t="s">
        <v>232</v>
      </c>
      <c r="M35" s="11" t="n">
        <f aca="false">IF(I35="OM","N/A",IFERROR(F35*H35,""))</f>
        <v>9</v>
      </c>
      <c r="N35" s="23" t="s">
        <v>233</v>
      </c>
      <c r="O35" s="23" t="str">
        <f aca="false">IFERROR(VLOOKUP(J35,Variables!$A$51:$B$55,2,FALSE()),"")</f>
        <v>Riesgo significativo. Requiere plan de acción formal (30-60 días). Monitoreo mensual.</v>
      </c>
    </row>
    <row r="36" customFormat="false" ht="64.5" hidden="false" customHeight="true" outlineLevel="0" collapsed="false">
      <c r="A36" s="15" t="s">
        <v>234</v>
      </c>
      <c r="B36" s="16" t="s">
        <v>93</v>
      </c>
      <c r="C36" s="17" t="s">
        <v>235</v>
      </c>
      <c r="D36" s="18" t="s">
        <v>236</v>
      </c>
      <c r="E36" s="19" t="s">
        <v>8</v>
      </c>
      <c r="F36" s="20" t="n">
        <f aca="false">IFERROR(VLOOKUP(E36,Variables!$A$6:$E$10,5,0),"")</f>
        <v>4</v>
      </c>
      <c r="G36" s="19" t="s">
        <v>21</v>
      </c>
      <c r="H36" s="20" t="n">
        <f aca="false">IFERROR(VLOOKUP(G36,Variables!$A$14:$E$18,5,0),"")</f>
        <v>3</v>
      </c>
      <c r="I36" s="19" t="str">
        <f aca="false">IF(B36="Oportunidad de Mejora","OM",IFERROR(CONCATENATE(F36,":",H36),""))</f>
        <v>4:3</v>
      </c>
      <c r="J36" s="19" t="str">
        <f aca="false">IFERROR(VLOOKUP(I36,Variables!$A$22:$B$47,2,FALSE()),"Por definir")</f>
        <v>MEDIO-ALTO</v>
      </c>
      <c r="K36" s="17" t="s">
        <v>217</v>
      </c>
      <c r="L36" s="17" t="s">
        <v>237</v>
      </c>
      <c r="M36" s="19" t="n">
        <f aca="false">IF(I36="OM","N/A",IFERROR(F36*H36,""))</f>
        <v>12</v>
      </c>
      <c r="N36" s="17" t="s">
        <v>225</v>
      </c>
      <c r="O36" s="17" t="str">
        <f aca="false">IFERROR(VLOOKUP(J36,Variables!$A$51:$B$55,2,FALSE()),"")</f>
        <v>Riesgo significativo. Requiere plan de acción formal (30-60 días). Monitoreo mensual.</v>
      </c>
    </row>
    <row r="37" customFormat="false" ht="64.5" hidden="false" customHeight="true" outlineLevel="0" collapsed="false">
      <c r="A37" s="21" t="s">
        <v>238</v>
      </c>
      <c r="B37" s="22" t="s">
        <v>93</v>
      </c>
      <c r="C37" s="23" t="s">
        <v>239</v>
      </c>
      <c r="D37" s="24" t="s">
        <v>240</v>
      </c>
      <c r="E37" s="11" t="s">
        <v>8</v>
      </c>
      <c r="F37" s="25" t="n">
        <f aca="false">IFERROR(VLOOKUP(E37,Variables!$A$6:$E$10,5,0),"")</f>
        <v>4</v>
      </c>
      <c r="G37" s="11" t="s">
        <v>21</v>
      </c>
      <c r="H37" s="25" t="n">
        <f aca="false">IFERROR(VLOOKUP(G37,Variables!$A$14:$E$18,5,0),"")</f>
        <v>3</v>
      </c>
      <c r="I37" s="11" t="str">
        <f aca="false">IF(B37="Oportunidad de Mejora","OM",IFERROR(CONCATENATE(F37,":",H37),""))</f>
        <v>4:3</v>
      </c>
      <c r="J37" s="11" t="str">
        <f aca="false">IFERROR(VLOOKUP(I37,Variables!$A$22:$B$47,2,FALSE()),"Por definir")</f>
        <v>MEDIO-ALTO</v>
      </c>
      <c r="K37" s="23" t="s">
        <v>217</v>
      </c>
      <c r="L37" s="23" t="s">
        <v>241</v>
      </c>
      <c r="M37" s="11" t="n">
        <f aca="false">IF(I37="OM","N/A",IFERROR(F37*H37,""))</f>
        <v>12</v>
      </c>
      <c r="N37" s="23" t="s">
        <v>168</v>
      </c>
      <c r="O37" s="23" t="str">
        <f aca="false">IFERROR(VLOOKUP(J37,Variables!$A$51:$B$55,2,FALSE()),"")</f>
        <v>Riesgo significativo. Requiere plan de acción formal (30-60 días). Monitoreo mensual.</v>
      </c>
    </row>
    <row r="38" customFormat="false" ht="60" hidden="false" customHeight="true" outlineLevel="0" collapsed="false">
      <c r="A38" s="15" t="s">
        <v>242</v>
      </c>
      <c r="B38" s="16" t="s">
        <v>93</v>
      </c>
      <c r="C38" s="17" t="s">
        <v>243</v>
      </c>
      <c r="D38" s="18" t="s">
        <v>121</v>
      </c>
      <c r="E38" s="19" t="s">
        <v>12</v>
      </c>
      <c r="F38" s="20" t="n">
        <f aca="false">IFERROR(VLOOKUP(E38,Variables!$A$6:$E$10,5,0),"")</f>
        <v>2</v>
      </c>
      <c r="G38" s="19" t="s">
        <v>25</v>
      </c>
      <c r="H38" s="20" t="n">
        <f aca="false">IFERROR(VLOOKUP(G38,Variables!$A$14:$E$18,5,0),"")</f>
        <v>1</v>
      </c>
      <c r="I38" s="19" t="str">
        <f aca="false">IF(B38="Oportunidad de Mejora","OM",IFERROR(CONCATENATE(F38,":",H38),""))</f>
        <v>2:1</v>
      </c>
      <c r="J38" s="19" t="str">
        <f aca="false">IFERROR(VLOOKUP(I38,Variables!$A$22:$B$47,2,FALSE()),"Por definir")</f>
        <v>BAJO</v>
      </c>
      <c r="K38" s="17" t="s">
        <v>217</v>
      </c>
      <c r="L38" s="17" t="s">
        <v>244</v>
      </c>
      <c r="M38" s="19" t="n">
        <f aca="false">IF(I38="OM","N/A",IFERROR(F38*H38,""))</f>
        <v>2</v>
      </c>
      <c r="N38" s="17" t="s">
        <v>233</v>
      </c>
      <c r="O38" s="17" t="str">
        <f aca="false">IFERROR(VLOOKUP(J38,Variables!$A$51:$B$55,2,FALSE()),"")</f>
        <v>Riesgo aceptable. Controles mínimos son suficientes. Monitoreo semestral.</v>
      </c>
    </row>
    <row r="39" customFormat="false" ht="142.5" hidden="false" customHeight="true" outlineLevel="0" collapsed="false">
      <c r="A39" s="21" t="s">
        <v>245</v>
      </c>
      <c r="B39" s="22" t="s">
        <v>93</v>
      </c>
      <c r="C39" s="23" t="s">
        <v>246</v>
      </c>
      <c r="D39" s="24" t="s">
        <v>247</v>
      </c>
      <c r="E39" s="11" t="s">
        <v>6</v>
      </c>
      <c r="F39" s="25" t="n">
        <f aca="false">IFERROR(VLOOKUP(E39,Variables!$A$6:$E$10,5,0),"")</f>
        <v>5</v>
      </c>
      <c r="G39" s="11" t="s">
        <v>19</v>
      </c>
      <c r="H39" s="25" t="n">
        <f aca="false">IFERROR(VLOOKUP(G39,Variables!$A$14:$E$18,5,0),"")</f>
        <v>4</v>
      </c>
      <c r="I39" s="11" t="str">
        <f aca="false">IF(B39="Oportunidad de Mejora","OM",IFERROR(CONCATENATE(F39,":",H39),""))</f>
        <v>5:4</v>
      </c>
      <c r="J39" s="11" t="str">
        <f aca="false">IFERROR(VLOOKUP(I39,Variables!$A$22:$B$47,2,FALSE()),"Por definir")</f>
        <v>CRÍTICO</v>
      </c>
      <c r="K39" s="23" t="s">
        <v>248</v>
      </c>
      <c r="L39" s="23" t="s">
        <v>249</v>
      </c>
      <c r="M39" s="11" t="n">
        <f aca="false">IF(I39="OM","N/A",IFERROR(F39*H39,""))</f>
        <v>20</v>
      </c>
      <c r="N39" s="23" t="s">
        <v>250</v>
      </c>
      <c r="O39" s="23" t="str">
        <f aca="false">IFERROR(VLOOKUP(J39,Variables!$A$51:$B$55,2,FALSE()),"")</f>
        <v>Riesgo inaceptable. Acción inmediata (0-30 días). Reporte obligatorio a JD y Oficial de Cumplimiento.</v>
      </c>
    </row>
    <row r="40" customFormat="false" ht="78" hidden="false" customHeight="true" outlineLevel="0" collapsed="false">
      <c r="A40" s="15" t="s">
        <v>251</v>
      </c>
      <c r="B40" s="16" t="s">
        <v>93</v>
      </c>
      <c r="C40" s="17" t="s">
        <v>252</v>
      </c>
      <c r="D40" s="18" t="s">
        <v>253</v>
      </c>
      <c r="E40" s="19" t="s">
        <v>8</v>
      </c>
      <c r="F40" s="20" t="n">
        <f aca="false">IFERROR(VLOOKUP(E40,Variables!$A$6:$E$10,5,0),"")</f>
        <v>4</v>
      </c>
      <c r="G40" s="19" t="s">
        <v>19</v>
      </c>
      <c r="H40" s="20" t="n">
        <f aca="false">IFERROR(VLOOKUP(G40,Variables!$A$14:$E$18,5,0),"")</f>
        <v>4</v>
      </c>
      <c r="I40" s="19" t="str">
        <f aca="false">IF(B40="Oportunidad de Mejora","OM",IFERROR(CONCATENATE(F40,":",H40),""))</f>
        <v>4:4</v>
      </c>
      <c r="J40" s="19" t="str">
        <f aca="false">IFERROR(VLOOKUP(I40,Variables!$A$22:$B$47,2,FALSE()),"Por definir")</f>
        <v>CRÍTICO</v>
      </c>
      <c r="K40" s="17" t="s">
        <v>248</v>
      </c>
      <c r="L40" s="17" t="s">
        <v>254</v>
      </c>
      <c r="M40" s="19" t="n">
        <f aca="false">IF(I40="OM","N/A",IFERROR(F40*H40,""))</f>
        <v>16</v>
      </c>
      <c r="N40" s="17" t="s">
        <v>255</v>
      </c>
      <c r="O40" s="17" t="str">
        <f aca="false">IFERROR(VLOOKUP(J40,Variables!$A$51:$B$55,2,FALSE()),"")</f>
        <v>Riesgo inaceptable. Acción inmediata (0-30 días). Reporte obligatorio a JD y Oficial de Cumplimiento.</v>
      </c>
    </row>
    <row r="41" customFormat="false" ht="78" hidden="false" customHeight="true" outlineLevel="0" collapsed="false">
      <c r="A41" s="21" t="s">
        <v>256</v>
      </c>
      <c r="B41" s="22" t="s">
        <v>93</v>
      </c>
      <c r="C41" s="23" t="s">
        <v>257</v>
      </c>
      <c r="D41" s="24" t="s">
        <v>136</v>
      </c>
      <c r="E41" s="11" t="s">
        <v>8</v>
      </c>
      <c r="F41" s="25" t="n">
        <f aca="false">IFERROR(VLOOKUP(E41,Variables!$A$6:$E$10,5,0),"")</f>
        <v>4</v>
      </c>
      <c r="G41" s="11" t="s">
        <v>21</v>
      </c>
      <c r="H41" s="25" t="n">
        <f aca="false">IFERROR(VLOOKUP(G41,Variables!$A$14:$E$18,5,0),"")</f>
        <v>3</v>
      </c>
      <c r="I41" s="11" t="str">
        <f aca="false">IF(B41="Oportunidad de Mejora","OM",IFERROR(CONCATENATE(F41,":",H41),""))</f>
        <v>4:3</v>
      </c>
      <c r="J41" s="11" t="str">
        <f aca="false">IFERROR(VLOOKUP(I41,Variables!$A$22:$B$47,2,FALSE()),"Por definir")</f>
        <v>MEDIO-ALTO</v>
      </c>
      <c r="K41" s="23" t="s">
        <v>248</v>
      </c>
      <c r="L41" s="23" t="s">
        <v>258</v>
      </c>
      <c r="M41" s="11" t="n">
        <f aca="false">IF(I41="OM","N/A",IFERROR(F41*H41,""))</f>
        <v>12</v>
      </c>
      <c r="N41" s="23" t="s">
        <v>168</v>
      </c>
      <c r="O41" s="23" t="str">
        <f aca="false">IFERROR(VLOOKUP(J41,Variables!$A$51:$B$55,2,FALSE()),"")</f>
        <v>Riesgo significativo. Requiere plan de acción formal (30-60 días). Monitoreo mensual.</v>
      </c>
    </row>
    <row r="42" customFormat="false" ht="64.5" hidden="false" customHeight="true" outlineLevel="0" collapsed="false">
      <c r="A42" s="15" t="s">
        <v>259</v>
      </c>
      <c r="B42" s="16" t="s">
        <v>93</v>
      </c>
      <c r="C42" s="17" t="s">
        <v>260</v>
      </c>
      <c r="D42" s="18" t="s">
        <v>136</v>
      </c>
      <c r="E42" s="19" t="s">
        <v>10</v>
      </c>
      <c r="F42" s="20" t="n">
        <f aca="false">IFERROR(VLOOKUP(E42,Variables!$A$6:$E$10,5,0),"")</f>
        <v>3</v>
      </c>
      <c r="G42" s="19" t="s">
        <v>21</v>
      </c>
      <c r="H42" s="20" t="n">
        <f aca="false">IFERROR(VLOOKUP(G42,Variables!$A$14:$E$18,5,0),"")</f>
        <v>3</v>
      </c>
      <c r="I42" s="19" t="str">
        <f aca="false">IF(B42="Oportunidad de Mejora","OM",IFERROR(CONCATENATE(F42,":",H42),""))</f>
        <v>3:3</v>
      </c>
      <c r="J42" s="19" t="str">
        <f aca="false">IFERROR(VLOOKUP(I42,Variables!$A$22:$B$47,2,FALSE()),"Por definir")</f>
        <v>MEDIO-ALTO</v>
      </c>
      <c r="K42" s="17" t="s">
        <v>248</v>
      </c>
      <c r="L42" s="17" t="s">
        <v>261</v>
      </c>
      <c r="M42" s="19" t="n">
        <f aca="false">IF(I42="OM","N/A",IFERROR(F42*H42,""))</f>
        <v>9</v>
      </c>
      <c r="N42" s="17" t="s">
        <v>262</v>
      </c>
      <c r="O42" s="17" t="str">
        <f aca="false">IFERROR(VLOOKUP(J42,Variables!$A$51:$B$55,2,FALSE()),"")</f>
        <v>Riesgo significativo. Requiere plan de acción formal (30-60 días). Monitoreo mensual.</v>
      </c>
    </row>
    <row r="43" customFormat="false" ht="90.75" hidden="false" customHeight="true" outlineLevel="0" collapsed="false">
      <c r="A43" s="21" t="s">
        <v>263</v>
      </c>
      <c r="B43" s="22" t="s">
        <v>93</v>
      </c>
      <c r="C43" s="23" t="s">
        <v>264</v>
      </c>
      <c r="D43" s="24" t="s">
        <v>265</v>
      </c>
      <c r="E43" s="11" t="s">
        <v>12</v>
      </c>
      <c r="F43" s="25" t="n">
        <f aca="false">IFERROR(VLOOKUP(E43,Variables!$A$6:$E$10,5,0),"")</f>
        <v>2</v>
      </c>
      <c r="G43" s="11" t="s">
        <v>19</v>
      </c>
      <c r="H43" s="25" t="n">
        <f aca="false">IFERROR(VLOOKUP(G43,Variables!$A$14:$E$18,5,0),"")</f>
        <v>4</v>
      </c>
      <c r="I43" s="11" t="str">
        <f aca="false">IF(B43="Oportunidad de Mejora","OM",IFERROR(CONCATENATE(F43,":",H43),""))</f>
        <v>2:4</v>
      </c>
      <c r="J43" s="11" t="str">
        <f aca="false">IFERROR(VLOOKUP(I43,Variables!$A$22:$B$47,2,FALSE()),"Por definir")</f>
        <v>MEDIO-ALTO</v>
      </c>
      <c r="K43" s="23" t="s">
        <v>248</v>
      </c>
      <c r="L43" s="23" t="s">
        <v>266</v>
      </c>
      <c r="M43" s="11" t="n">
        <f aca="false">IF(I43="OM","N/A",IFERROR(F43*H43,""))</f>
        <v>8</v>
      </c>
      <c r="N43" s="23" t="s">
        <v>152</v>
      </c>
      <c r="O43" s="23" t="str">
        <f aca="false">IFERROR(VLOOKUP(J43,Variables!$A$51:$B$55,2,FALSE()),"")</f>
        <v>Riesgo significativo. Requiere plan de acción formal (30-60 días). Monitoreo mensual.</v>
      </c>
    </row>
    <row r="44" customFormat="false" ht="90.75" hidden="false" customHeight="true" outlineLevel="0" collapsed="false">
      <c r="A44" s="15" t="s">
        <v>267</v>
      </c>
      <c r="B44" s="16" t="s">
        <v>93</v>
      </c>
      <c r="C44" s="17" t="s">
        <v>268</v>
      </c>
      <c r="D44" s="18" t="s">
        <v>247</v>
      </c>
      <c r="E44" s="19" t="s">
        <v>10</v>
      </c>
      <c r="F44" s="20" t="n">
        <f aca="false">IFERROR(VLOOKUP(E44,Variables!$A$6:$E$10,5,0),"")</f>
        <v>3</v>
      </c>
      <c r="G44" s="19" t="s">
        <v>21</v>
      </c>
      <c r="H44" s="20" t="n">
        <f aca="false">IFERROR(VLOOKUP(G44,Variables!$A$14:$E$18,5,0),"")</f>
        <v>3</v>
      </c>
      <c r="I44" s="19" t="str">
        <f aca="false">IF(B44="Oportunidad de Mejora","OM",IFERROR(CONCATENATE(F44,":",H44),""))</f>
        <v>3:3</v>
      </c>
      <c r="J44" s="19" t="str">
        <f aca="false">IFERROR(VLOOKUP(I44,Variables!$A$22:$B$47,2,FALSE()),"Por definir")</f>
        <v>MEDIO-ALTO</v>
      </c>
      <c r="K44" s="17" t="s">
        <v>248</v>
      </c>
      <c r="L44" s="17" t="s">
        <v>269</v>
      </c>
      <c r="M44" s="19" t="n">
        <f aca="false">IF(I44="OM","N/A",IFERROR(F44*H44,""))</f>
        <v>9</v>
      </c>
      <c r="N44" s="17" t="s">
        <v>250</v>
      </c>
      <c r="O44" s="17" t="str">
        <f aca="false">IFERROR(VLOOKUP(J44,Variables!$A$51:$B$55,2,FALSE()),"")</f>
        <v>Riesgo significativo. Requiere plan de acción formal (30-60 días). Monitoreo mensual.</v>
      </c>
    </row>
    <row r="45" customFormat="false" ht="60" hidden="false" customHeight="true" outlineLevel="0" collapsed="false">
      <c r="A45" s="21" t="s">
        <v>270</v>
      </c>
      <c r="B45" s="22" t="s">
        <v>93</v>
      </c>
      <c r="C45" s="23" t="s">
        <v>271</v>
      </c>
      <c r="D45" s="24" t="s">
        <v>136</v>
      </c>
      <c r="E45" s="11" t="s">
        <v>10</v>
      </c>
      <c r="F45" s="25" t="n">
        <f aca="false">IFERROR(VLOOKUP(E45,Variables!$A$6:$E$10,5,0),"")</f>
        <v>3</v>
      </c>
      <c r="G45" s="11" t="s">
        <v>23</v>
      </c>
      <c r="H45" s="25" t="n">
        <f aca="false">IFERROR(VLOOKUP(G45,Variables!$A$14:$E$18,5,0),"")</f>
        <v>2</v>
      </c>
      <c r="I45" s="11" t="str">
        <f aca="false">IF(B45="Oportunidad de Mejora","OM",IFERROR(CONCATENATE(F45,":",H45),""))</f>
        <v>3:2</v>
      </c>
      <c r="J45" s="11" t="str">
        <f aca="false">IFERROR(VLOOKUP(I45,Variables!$A$22:$B$47,2,FALSE()),"Por definir")</f>
        <v>MEDIO</v>
      </c>
      <c r="K45" s="23" t="s">
        <v>248</v>
      </c>
      <c r="L45" s="23" t="s">
        <v>272</v>
      </c>
      <c r="M45" s="11" t="n">
        <f aca="false">IF(I45="OM","N/A",IFERROR(F45*H45,""))</f>
        <v>6</v>
      </c>
      <c r="N45" s="23" t="s">
        <v>208</v>
      </c>
      <c r="O45" s="23" t="str">
        <f aca="false">IFERROR(VLOOKUP(J45,Variables!$A$51:$B$55,2,FALSE()),"")</f>
        <v>Riesgo manejable. Requiere medidas correctivas (60-90 días). Monitoreo trimestral.</v>
      </c>
    </row>
    <row r="46" customFormat="false" ht="64.5" hidden="false" customHeight="true" outlineLevel="0" collapsed="false">
      <c r="A46" s="15" t="s">
        <v>273</v>
      </c>
      <c r="B46" s="16" t="s">
        <v>93</v>
      </c>
      <c r="C46" s="17" t="s">
        <v>274</v>
      </c>
      <c r="D46" s="18" t="s">
        <v>247</v>
      </c>
      <c r="E46" s="19" t="s">
        <v>6</v>
      </c>
      <c r="F46" s="20" t="n">
        <f aca="false">IFERROR(VLOOKUP(E46,Variables!$A$6:$E$10,5,0),"")</f>
        <v>5</v>
      </c>
      <c r="G46" s="19" t="s">
        <v>21</v>
      </c>
      <c r="H46" s="20" t="n">
        <f aca="false">IFERROR(VLOOKUP(G46,Variables!$A$14:$E$18,5,0),"")</f>
        <v>3</v>
      </c>
      <c r="I46" s="19" t="str">
        <f aca="false">IF(B46="Oportunidad de Mejora","OM",IFERROR(CONCATENATE(F46,":",H46),""))</f>
        <v>5:3</v>
      </c>
      <c r="J46" s="19" t="str">
        <f aca="false">IFERROR(VLOOKUP(I46,Variables!$A$22:$B$47,2,FALSE()),"Por definir")</f>
        <v>CRÍTICO</v>
      </c>
      <c r="K46" s="17" t="s">
        <v>248</v>
      </c>
      <c r="L46" s="17" t="s">
        <v>275</v>
      </c>
      <c r="M46" s="19" t="n">
        <f aca="false">IF(I46="OM","N/A",IFERROR(F46*H46,""))</f>
        <v>15</v>
      </c>
      <c r="N46" s="17" t="s">
        <v>276</v>
      </c>
      <c r="O46" s="17" t="str">
        <f aca="false">IFERROR(VLOOKUP(J46,Variables!$A$51:$B$55,2,FALSE()),"")</f>
        <v>Riesgo inaceptable. Acción inmediata (0-30 días). Reporte obligatorio a JD y Oficial de Cumplimiento.</v>
      </c>
    </row>
    <row r="47" customFormat="false" ht="103.5" hidden="false" customHeight="true" outlineLevel="0" collapsed="false">
      <c r="A47" s="21" t="s">
        <v>277</v>
      </c>
      <c r="B47" s="22" t="s">
        <v>93</v>
      </c>
      <c r="C47" s="23" t="s">
        <v>278</v>
      </c>
      <c r="D47" s="24" t="s">
        <v>279</v>
      </c>
      <c r="E47" s="11" t="s">
        <v>8</v>
      </c>
      <c r="F47" s="25" t="n">
        <f aca="false">IFERROR(VLOOKUP(E47,Variables!$A$6:$E$10,5,0),"")</f>
        <v>4</v>
      </c>
      <c r="G47" s="11" t="s">
        <v>19</v>
      </c>
      <c r="H47" s="25" t="n">
        <f aca="false">IFERROR(VLOOKUP(G47,Variables!$A$14:$E$18,5,0),"")</f>
        <v>4</v>
      </c>
      <c r="I47" s="11" t="str">
        <f aca="false">IF(B47="Oportunidad de Mejora","OM",IFERROR(CONCATENATE(F47,":",H47),""))</f>
        <v>4:4</v>
      </c>
      <c r="J47" s="11" t="str">
        <f aca="false">IFERROR(VLOOKUP(I47,Variables!$A$22:$B$47,2,FALSE()),"Por definir")</f>
        <v>CRÍTICO</v>
      </c>
      <c r="K47" s="23" t="s">
        <v>280</v>
      </c>
      <c r="L47" s="23" t="s">
        <v>281</v>
      </c>
      <c r="M47" s="11" t="n">
        <f aca="false">IF(I47="OM","N/A",IFERROR(F47*H47,""))</f>
        <v>16</v>
      </c>
      <c r="N47" s="23" t="s">
        <v>282</v>
      </c>
      <c r="O47" s="23" t="str">
        <f aca="false">IFERROR(VLOOKUP(J47,Variables!$A$51:$B$55,2,FALSE()),"")</f>
        <v>Riesgo inaceptable. Acción inmediata (0-30 días). Reporte obligatorio a JD y Oficial de Cumplimiento.</v>
      </c>
    </row>
    <row r="48" customFormat="false" ht="64.5" hidden="false" customHeight="true" outlineLevel="0" collapsed="false">
      <c r="A48" s="15" t="s">
        <v>283</v>
      </c>
      <c r="B48" s="16" t="s">
        <v>93</v>
      </c>
      <c r="C48" s="17" t="s">
        <v>284</v>
      </c>
      <c r="D48" s="18" t="s">
        <v>285</v>
      </c>
      <c r="E48" s="19" t="s">
        <v>12</v>
      </c>
      <c r="F48" s="20" t="n">
        <f aca="false">IFERROR(VLOOKUP(E48,Variables!$A$6:$E$10,5,0),"")</f>
        <v>2</v>
      </c>
      <c r="G48" s="19" t="s">
        <v>23</v>
      </c>
      <c r="H48" s="20" t="n">
        <f aca="false">IFERROR(VLOOKUP(G48,Variables!$A$14:$E$18,5,0),"")</f>
        <v>2</v>
      </c>
      <c r="I48" s="19" t="str">
        <f aca="false">IF(B48="Oportunidad de Mejora","OM",IFERROR(CONCATENATE(F48,":",H48),""))</f>
        <v>2:2</v>
      </c>
      <c r="J48" s="19" t="str">
        <f aca="false">IFERROR(VLOOKUP(I48,Variables!$A$22:$B$47,2,FALSE()),"Por definir")</f>
        <v>MEDIO</v>
      </c>
      <c r="K48" s="17" t="s">
        <v>280</v>
      </c>
      <c r="L48" s="17" t="s">
        <v>286</v>
      </c>
      <c r="M48" s="19" t="n">
        <f aca="false">IF(I48="OM","N/A",IFERROR(F48*H48,""))</f>
        <v>4</v>
      </c>
      <c r="N48" s="17" t="s">
        <v>287</v>
      </c>
      <c r="O48" s="17" t="str">
        <f aca="false">IFERROR(VLOOKUP(J48,Variables!$A$51:$B$55,2,FALSE()),"")</f>
        <v>Riesgo manejable. Requiere medidas correctivas (60-90 días). Monitoreo trimestral.</v>
      </c>
    </row>
    <row r="49" customFormat="false" ht="60" hidden="false" customHeight="true" outlineLevel="0" collapsed="false">
      <c r="A49" s="21" t="s">
        <v>288</v>
      </c>
      <c r="B49" s="22" t="s">
        <v>93</v>
      </c>
      <c r="C49" s="23" t="s">
        <v>239</v>
      </c>
      <c r="D49" s="24" t="s">
        <v>121</v>
      </c>
      <c r="E49" s="11" t="s">
        <v>10</v>
      </c>
      <c r="F49" s="25" t="n">
        <f aca="false">IFERROR(VLOOKUP(E49,Variables!$A$6:$E$10,5,0),"")</f>
        <v>3</v>
      </c>
      <c r="G49" s="11" t="s">
        <v>23</v>
      </c>
      <c r="H49" s="25" t="n">
        <f aca="false">IFERROR(VLOOKUP(G49,Variables!$A$14:$E$18,5,0),"")</f>
        <v>2</v>
      </c>
      <c r="I49" s="11" t="str">
        <f aca="false">IF(B49="Oportunidad de Mejora","OM",IFERROR(CONCATENATE(F49,":",H49),""))</f>
        <v>3:2</v>
      </c>
      <c r="J49" s="11" t="str">
        <f aca="false">IFERROR(VLOOKUP(I49,Variables!$A$22:$B$47,2,FALSE()),"Por definir")</f>
        <v>MEDIO</v>
      </c>
      <c r="K49" s="23" t="s">
        <v>280</v>
      </c>
      <c r="L49" s="23" t="s">
        <v>289</v>
      </c>
      <c r="M49" s="11" t="n">
        <f aca="false">IF(I49="OM","N/A",IFERROR(F49*H49,""))</f>
        <v>6</v>
      </c>
      <c r="N49" s="23" t="s">
        <v>287</v>
      </c>
      <c r="O49" s="23" t="str">
        <f aca="false">IFERROR(VLOOKUP(J49,Variables!$A$51:$B$55,2,FALSE()),"")</f>
        <v>Riesgo manejable. Requiere medidas correctivas (60-90 días). Monitoreo trimestral.</v>
      </c>
    </row>
    <row r="50" customFormat="false" ht="60" hidden="false" customHeight="true" outlineLevel="0" collapsed="false">
      <c r="A50" s="15" t="s">
        <v>290</v>
      </c>
      <c r="B50" s="16" t="s">
        <v>93</v>
      </c>
      <c r="C50" s="17" t="s">
        <v>291</v>
      </c>
      <c r="D50" s="18" t="s">
        <v>131</v>
      </c>
      <c r="E50" s="19" t="s">
        <v>10</v>
      </c>
      <c r="F50" s="20" t="n">
        <f aca="false">IFERROR(VLOOKUP(E50,Variables!$A$6:$E$10,5,0),"")</f>
        <v>3</v>
      </c>
      <c r="G50" s="19" t="s">
        <v>21</v>
      </c>
      <c r="H50" s="20" t="n">
        <f aca="false">IFERROR(VLOOKUP(G50,Variables!$A$14:$E$18,5,0),"")</f>
        <v>3</v>
      </c>
      <c r="I50" s="19" t="str">
        <f aca="false">IF(B50="Oportunidad de Mejora","OM",IFERROR(CONCATENATE(F50,":",H50),""))</f>
        <v>3:3</v>
      </c>
      <c r="J50" s="19" t="str">
        <f aca="false">IFERROR(VLOOKUP(I50,Variables!$A$22:$B$47,2,FALSE()),"Por definir")</f>
        <v>MEDIO-ALTO</v>
      </c>
      <c r="K50" s="17" t="s">
        <v>280</v>
      </c>
      <c r="L50" s="17" t="s">
        <v>292</v>
      </c>
      <c r="M50" s="19" t="n">
        <f aca="false">IF(I50="OM","N/A",IFERROR(F50*H50,""))</f>
        <v>9</v>
      </c>
      <c r="N50" s="17" t="s">
        <v>293</v>
      </c>
      <c r="O50" s="17" t="str">
        <f aca="false">IFERROR(VLOOKUP(J50,Variables!$A$51:$B$55,2,FALSE()),"")</f>
        <v>Riesgo significativo. Requiere plan de acción formal (30-60 días). Monitoreo mensual.</v>
      </c>
    </row>
    <row r="51" customFormat="false" ht="64.5" hidden="false" customHeight="true" outlineLevel="0" collapsed="false">
      <c r="A51" s="21" t="s">
        <v>294</v>
      </c>
      <c r="B51" s="22" t="s">
        <v>93</v>
      </c>
      <c r="C51" s="23" t="s">
        <v>295</v>
      </c>
      <c r="D51" s="24" t="s">
        <v>131</v>
      </c>
      <c r="E51" s="11" t="s">
        <v>12</v>
      </c>
      <c r="F51" s="25" t="n">
        <f aca="false">IFERROR(VLOOKUP(E51,Variables!$A$6:$E$10,5,0),"")</f>
        <v>2</v>
      </c>
      <c r="G51" s="11" t="s">
        <v>23</v>
      </c>
      <c r="H51" s="25" t="n">
        <f aca="false">IFERROR(VLOOKUP(G51,Variables!$A$14:$E$18,5,0),"")</f>
        <v>2</v>
      </c>
      <c r="I51" s="11" t="str">
        <f aca="false">IF(B51="Oportunidad de Mejora","OM",IFERROR(CONCATENATE(F51,":",H51),""))</f>
        <v>2:2</v>
      </c>
      <c r="J51" s="11" t="str">
        <f aca="false">IFERROR(VLOOKUP(I51,Variables!$A$22:$B$47,2,FALSE()),"Por definir")</f>
        <v>MEDIO</v>
      </c>
      <c r="K51" s="23" t="s">
        <v>280</v>
      </c>
      <c r="L51" s="23" t="s">
        <v>296</v>
      </c>
      <c r="M51" s="11" t="n">
        <f aca="false">IF(I51="OM","N/A",IFERROR(F51*H51,""))</f>
        <v>4</v>
      </c>
      <c r="N51" s="23" t="s">
        <v>282</v>
      </c>
      <c r="O51" s="23" t="str">
        <f aca="false">IFERROR(VLOOKUP(J51,Variables!$A$51:$B$55,2,FALSE()),"")</f>
        <v>Riesgo manejable. Requiere medidas correctivas (60-90 días). Monitoreo trimestral.</v>
      </c>
    </row>
    <row r="52" customFormat="false" ht="90.75" hidden="false" customHeight="true" outlineLevel="0" collapsed="false">
      <c r="A52" s="15" t="s">
        <v>297</v>
      </c>
      <c r="B52" s="16" t="s">
        <v>93</v>
      </c>
      <c r="C52" s="17" t="s">
        <v>298</v>
      </c>
      <c r="D52" s="18" t="s">
        <v>299</v>
      </c>
      <c r="E52" s="19" t="s">
        <v>8</v>
      </c>
      <c r="F52" s="20" t="n">
        <f aca="false">IFERROR(VLOOKUP(E52,Variables!$A$6:$E$10,5,0),"")</f>
        <v>4</v>
      </c>
      <c r="G52" s="19" t="s">
        <v>19</v>
      </c>
      <c r="H52" s="20" t="n">
        <f aca="false">IFERROR(VLOOKUP(G52,Variables!$A$14:$E$18,5,0),"")</f>
        <v>4</v>
      </c>
      <c r="I52" s="19" t="str">
        <f aca="false">IF(B52="Oportunidad de Mejora","OM",IFERROR(CONCATENATE(F52,":",H52),""))</f>
        <v>4:4</v>
      </c>
      <c r="J52" s="19" t="str">
        <f aca="false">IFERROR(VLOOKUP(I52,Variables!$A$22:$B$47,2,FALSE()),"Por definir")</f>
        <v>CRÍTICO</v>
      </c>
      <c r="K52" s="17" t="s">
        <v>300</v>
      </c>
      <c r="L52" s="17" t="s">
        <v>301</v>
      </c>
      <c r="M52" s="19" t="n">
        <f aca="false">IF(I52="OM","N/A",IFERROR(F52*H52,""))</f>
        <v>16</v>
      </c>
      <c r="N52" s="17" t="s">
        <v>302</v>
      </c>
      <c r="O52" s="17" t="str">
        <f aca="false">IFERROR(VLOOKUP(J52,Variables!$A$51:$B$55,2,FALSE()),"")</f>
        <v>Riesgo inaceptable. Acción inmediata (0-30 días). Reporte obligatorio a JD y Oficial de Cumplimiento.</v>
      </c>
    </row>
    <row r="53" customFormat="false" ht="64.5" hidden="false" customHeight="true" outlineLevel="0" collapsed="false">
      <c r="A53" s="21" t="s">
        <v>303</v>
      </c>
      <c r="B53" s="22" t="s">
        <v>93</v>
      </c>
      <c r="C53" s="23" t="s">
        <v>260</v>
      </c>
      <c r="D53" s="24" t="s">
        <v>304</v>
      </c>
      <c r="E53" s="11" t="s">
        <v>10</v>
      </c>
      <c r="F53" s="25" t="n">
        <f aca="false">IFERROR(VLOOKUP(E53,Variables!$A$6:$E$10,5,0),"")</f>
        <v>3</v>
      </c>
      <c r="G53" s="11" t="s">
        <v>17</v>
      </c>
      <c r="H53" s="25" t="n">
        <f aca="false">IFERROR(VLOOKUP(G53,Variables!$A$14:$E$18,5,0),"")</f>
        <v>5</v>
      </c>
      <c r="I53" s="11" t="str">
        <f aca="false">IF(B53="Oportunidad de Mejora","OM",IFERROR(CONCATENATE(F53,":",H53),""))</f>
        <v>3:5</v>
      </c>
      <c r="J53" s="11" t="str">
        <f aca="false">IFERROR(VLOOKUP(I53,Variables!$A$22:$B$47,2,FALSE()),"Por definir")</f>
        <v>CRÍTICO</v>
      </c>
      <c r="K53" s="23" t="s">
        <v>300</v>
      </c>
      <c r="L53" s="23" t="s">
        <v>305</v>
      </c>
      <c r="M53" s="11" t="n">
        <f aca="false">IF(I53="OM","N/A",IFERROR(F53*H53,""))</f>
        <v>15</v>
      </c>
      <c r="N53" s="23" t="s">
        <v>306</v>
      </c>
      <c r="O53" s="23" t="str">
        <f aca="false">IFERROR(VLOOKUP(J53,Variables!$A$51:$B$55,2,FALSE()),"")</f>
        <v>Riesgo inaceptable. Acción inmediata (0-30 días). Reporte obligatorio a JD y Oficial de Cumplimiento.</v>
      </c>
    </row>
    <row r="54" customFormat="false" ht="60" hidden="false" customHeight="true" outlineLevel="0" collapsed="false">
      <c r="A54" s="15" t="s">
        <v>307</v>
      </c>
      <c r="B54" s="16" t="s">
        <v>93</v>
      </c>
      <c r="C54" s="17" t="s">
        <v>308</v>
      </c>
      <c r="D54" s="18" t="s">
        <v>121</v>
      </c>
      <c r="E54" s="19" t="s">
        <v>10</v>
      </c>
      <c r="F54" s="20" t="n">
        <f aca="false">IFERROR(VLOOKUP(E54,Variables!$A$6:$E$10,5,0),"")</f>
        <v>3</v>
      </c>
      <c r="G54" s="19" t="s">
        <v>21</v>
      </c>
      <c r="H54" s="20" t="n">
        <f aca="false">IFERROR(VLOOKUP(G54,Variables!$A$14:$E$18,5,0),"")</f>
        <v>3</v>
      </c>
      <c r="I54" s="19" t="str">
        <f aca="false">IF(B54="Oportunidad de Mejora","OM",IFERROR(CONCATENATE(F54,":",H54),""))</f>
        <v>3:3</v>
      </c>
      <c r="J54" s="19" t="str">
        <f aca="false">IFERROR(VLOOKUP(I54,Variables!$A$22:$B$47,2,FALSE()),"Por definir")</f>
        <v>MEDIO-ALTO</v>
      </c>
      <c r="K54" s="17" t="s">
        <v>300</v>
      </c>
      <c r="L54" s="17" t="s">
        <v>309</v>
      </c>
      <c r="M54" s="19" t="n">
        <f aca="false">IF(I54="OM","N/A",IFERROR(F54*H54,""))</f>
        <v>9</v>
      </c>
      <c r="N54" s="17" t="s">
        <v>302</v>
      </c>
      <c r="O54" s="17" t="str">
        <f aca="false">IFERROR(VLOOKUP(J54,Variables!$A$51:$B$55,2,FALSE()),"")</f>
        <v>Riesgo significativo. Requiere plan de acción formal (30-60 días). Monitoreo mensual.</v>
      </c>
    </row>
    <row r="55" customFormat="false" ht="103.5" hidden="false" customHeight="true" outlineLevel="0" collapsed="false">
      <c r="A55" s="21" t="s">
        <v>310</v>
      </c>
      <c r="B55" s="22" t="s">
        <v>93</v>
      </c>
      <c r="C55" s="23" t="s">
        <v>311</v>
      </c>
      <c r="D55" s="24" t="s">
        <v>312</v>
      </c>
      <c r="E55" s="11" t="s">
        <v>10</v>
      </c>
      <c r="F55" s="25" t="n">
        <f aca="false">IFERROR(VLOOKUP(E55,Variables!$A$6:$E$10,5,0),"")</f>
        <v>3</v>
      </c>
      <c r="G55" s="11" t="s">
        <v>19</v>
      </c>
      <c r="H55" s="25" t="n">
        <f aca="false">IFERROR(VLOOKUP(G55,Variables!$A$14:$E$18,5,0),"")</f>
        <v>4</v>
      </c>
      <c r="I55" s="11" t="str">
        <f aca="false">IF(B55="Oportunidad de Mejora","OM",IFERROR(CONCATENATE(F55,":",H55),""))</f>
        <v>3:4</v>
      </c>
      <c r="J55" s="11" t="str">
        <f aca="false">IFERROR(VLOOKUP(I55,Variables!$A$22:$B$47,2,FALSE()),"Por definir")</f>
        <v>MEDIO-ALTO</v>
      </c>
      <c r="K55" s="23" t="s">
        <v>300</v>
      </c>
      <c r="L55" s="23" t="s">
        <v>313</v>
      </c>
      <c r="M55" s="11" t="n">
        <f aca="false">IF(I55="OM","N/A",IFERROR(F55*H55,""))</f>
        <v>12</v>
      </c>
      <c r="N55" s="23" t="s">
        <v>213</v>
      </c>
      <c r="O55" s="23" t="str">
        <f aca="false">IFERROR(VLOOKUP(J55,Variables!$A$51:$B$55,2,FALSE()),"")</f>
        <v>Riesgo significativo. Requiere plan de acción formal (30-60 días). Monitoreo mensual.</v>
      </c>
    </row>
    <row r="56" customFormat="false" ht="64.5" hidden="false" customHeight="true" outlineLevel="0" collapsed="false">
      <c r="A56" s="15" t="s">
        <v>314</v>
      </c>
      <c r="B56" s="16" t="s">
        <v>93</v>
      </c>
      <c r="C56" s="17" t="s">
        <v>184</v>
      </c>
      <c r="D56" s="18" t="s">
        <v>315</v>
      </c>
      <c r="E56" s="19" t="s">
        <v>12</v>
      </c>
      <c r="F56" s="20" t="n">
        <f aca="false">IFERROR(VLOOKUP(E56,Variables!$A$6:$E$10,5,0),"")</f>
        <v>2</v>
      </c>
      <c r="G56" s="19" t="s">
        <v>21</v>
      </c>
      <c r="H56" s="20" t="n">
        <f aca="false">IFERROR(VLOOKUP(G56,Variables!$A$14:$E$18,5,0),"")</f>
        <v>3</v>
      </c>
      <c r="I56" s="19" t="str">
        <f aca="false">IF(B56="Oportunidad de Mejora","OM",IFERROR(CONCATENATE(F56,":",H56),""))</f>
        <v>2:3</v>
      </c>
      <c r="J56" s="19" t="str">
        <f aca="false">IFERROR(VLOOKUP(I56,Variables!$A$22:$B$47,2,FALSE()),"Por definir")</f>
        <v>MEDIO</v>
      </c>
      <c r="K56" s="17" t="s">
        <v>300</v>
      </c>
      <c r="L56" s="17" t="s">
        <v>316</v>
      </c>
      <c r="M56" s="19" t="n">
        <f aca="false">IF(I56="OM","N/A",IFERROR(F56*H56,""))</f>
        <v>6</v>
      </c>
      <c r="N56" s="17" t="s">
        <v>317</v>
      </c>
      <c r="O56" s="17" t="str">
        <f aca="false">IFERROR(VLOOKUP(J56,Variables!$A$51:$B$55,2,FALSE()),"")</f>
        <v>Riesgo manejable. Requiere medidas correctivas (60-90 días). Monitoreo trimestral.</v>
      </c>
    </row>
    <row r="57" customFormat="false" ht="64.5" hidden="false" customHeight="true" outlineLevel="0" collapsed="false">
      <c r="A57" s="21" t="s">
        <v>318</v>
      </c>
      <c r="B57" s="22" t="s">
        <v>93</v>
      </c>
      <c r="C57" s="23" t="s">
        <v>319</v>
      </c>
      <c r="D57" s="24" t="s">
        <v>320</v>
      </c>
      <c r="E57" s="11" t="s">
        <v>12</v>
      </c>
      <c r="F57" s="25" t="n">
        <f aca="false">IFERROR(VLOOKUP(E57,Variables!$A$6:$E$10,5,0),"")</f>
        <v>2</v>
      </c>
      <c r="G57" s="11" t="s">
        <v>23</v>
      </c>
      <c r="H57" s="25" t="n">
        <f aca="false">IFERROR(VLOOKUP(G57,Variables!$A$14:$E$18,5,0),"")</f>
        <v>2</v>
      </c>
      <c r="I57" s="11" t="str">
        <f aca="false">IF(B57="Oportunidad de Mejora","OM",IFERROR(CONCATENATE(F57,":",H57),""))</f>
        <v>2:2</v>
      </c>
      <c r="J57" s="11" t="str">
        <f aca="false">IFERROR(VLOOKUP(I57,Variables!$A$22:$B$47,2,FALSE()),"Por definir")</f>
        <v>MEDIO</v>
      </c>
      <c r="K57" s="23" t="s">
        <v>300</v>
      </c>
      <c r="L57" s="23" t="s">
        <v>321</v>
      </c>
      <c r="M57" s="11" t="n">
        <f aca="false">IF(I57="OM","N/A",IFERROR(F57*H57,""))</f>
        <v>4</v>
      </c>
      <c r="N57" s="23" t="s">
        <v>146</v>
      </c>
      <c r="O57" s="23" t="str">
        <f aca="false">IFERROR(VLOOKUP(J57,Variables!$A$51:$B$55,2,FALSE()),"")</f>
        <v>Riesgo manejable. Requiere medidas correctivas (60-90 días). Monitoreo trimestral.</v>
      </c>
    </row>
    <row r="58" customFormat="false" ht="90.75" hidden="false" customHeight="true" outlineLevel="0" collapsed="false">
      <c r="A58" s="15" t="s">
        <v>322</v>
      </c>
      <c r="B58" s="16" t="s">
        <v>93</v>
      </c>
      <c r="C58" s="17" t="s">
        <v>323</v>
      </c>
      <c r="D58" s="18" t="s">
        <v>324</v>
      </c>
      <c r="E58" s="19" t="s">
        <v>12</v>
      </c>
      <c r="F58" s="20" t="n">
        <f aca="false">IFERROR(VLOOKUP(E58,Variables!$A$6:$E$10,5,0),"")</f>
        <v>2</v>
      </c>
      <c r="G58" s="19" t="s">
        <v>21</v>
      </c>
      <c r="H58" s="20" t="n">
        <f aca="false">IFERROR(VLOOKUP(G58,Variables!$A$14:$E$18,5,0),"")</f>
        <v>3</v>
      </c>
      <c r="I58" s="19" t="str">
        <f aca="false">IF(B58="Oportunidad de Mejora","OM",IFERROR(CONCATENATE(F58,":",H58),""))</f>
        <v>2:3</v>
      </c>
      <c r="J58" s="19" t="str">
        <f aca="false">IFERROR(VLOOKUP(I58,Variables!$A$22:$B$47,2,FALSE()),"Por definir")</f>
        <v>MEDIO</v>
      </c>
      <c r="K58" s="17" t="s">
        <v>325</v>
      </c>
      <c r="L58" s="17" t="s">
        <v>326</v>
      </c>
      <c r="M58" s="19" t="n">
        <f aca="false">IF(I58="OM","N/A",IFERROR(F58*H58,""))</f>
        <v>6</v>
      </c>
      <c r="N58" s="17" t="s">
        <v>327</v>
      </c>
      <c r="O58" s="17" t="str">
        <f aca="false">IFERROR(VLOOKUP(J58,Variables!$A$51:$B$55,2,FALSE()),"")</f>
        <v>Riesgo manejable. Requiere medidas correctivas (60-90 días). Monitoreo trimestral.</v>
      </c>
    </row>
    <row r="59" customFormat="false" ht="64.5" hidden="false" customHeight="true" outlineLevel="0" collapsed="false">
      <c r="A59" s="21" t="s">
        <v>328</v>
      </c>
      <c r="B59" s="22" t="s">
        <v>93</v>
      </c>
      <c r="C59" s="23" t="s">
        <v>329</v>
      </c>
      <c r="D59" s="24" t="s">
        <v>330</v>
      </c>
      <c r="E59" s="11" t="s">
        <v>8</v>
      </c>
      <c r="F59" s="25" t="n">
        <f aca="false">IFERROR(VLOOKUP(E59,Variables!$A$6:$E$10,5,0),"")</f>
        <v>4</v>
      </c>
      <c r="G59" s="11" t="s">
        <v>21</v>
      </c>
      <c r="H59" s="25" t="n">
        <f aca="false">IFERROR(VLOOKUP(G59,Variables!$A$14:$E$18,5,0),"")</f>
        <v>3</v>
      </c>
      <c r="I59" s="11" t="str">
        <f aca="false">IF(B59="Oportunidad de Mejora","OM",IFERROR(CONCATENATE(F59,":",H59),""))</f>
        <v>4:3</v>
      </c>
      <c r="J59" s="11" t="str">
        <f aca="false">IFERROR(VLOOKUP(I59,Variables!$A$22:$B$47,2,FALSE()),"Por definir")</f>
        <v>MEDIO-ALTO</v>
      </c>
      <c r="K59" s="23" t="s">
        <v>325</v>
      </c>
      <c r="L59" s="23" t="s">
        <v>331</v>
      </c>
      <c r="M59" s="11" t="n">
        <f aca="false">IF(I59="OM","N/A",IFERROR(F59*H59,""))</f>
        <v>12</v>
      </c>
      <c r="N59" s="23" t="s">
        <v>250</v>
      </c>
      <c r="O59" s="23" t="str">
        <f aca="false">IFERROR(VLOOKUP(J59,Variables!$A$51:$B$55,2,FALSE()),"")</f>
        <v>Riesgo significativo. Requiere plan de acción formal (30-60 días). Monitoreo mensual.</v>
      </c>
    </row>
    <row r="60" customFormat="false" ht="64.5" hidden="false" customHeight="true" outlineLevel="0" collapsed="false">
      <c r="A60" s="15" t="s">
        <v>332</v>
      </c>
      <c r="B60" s="16" t="s">
        <v>93</v>
      </c>
      <c r="C60" s="17" t="s">
        <v>333</v>
      </c>
      <c r="D60" s="18" t="s">
        <v>131</v>
      </c>
      <c r="E60" s="19" t="s">
        <v>12</v>
      </c>
      <c r="F60" s="20" t="n">
        <f aca="false">IFERROR(VLOOKUP(E60,Variables!$A$6:$E$10,5,0),"")</f>
        <v>2</v>
      </c>
      <c r="G60" s="19" t="s">
        <v>21</v>
      </c>
      <c r="H60" s="20" t="n">
        <f aca="false">IFERROR(VLOOKUP(G60,Variables!$A$14:$E$18,5,0),"")</f>
        <v>3</v>
      </c>
      <c r="I60" s="19" t="str">
        <f aca="false">IF(B60="Oportunidad de Mejora","OM",IFERROR(CONCATENATE(F60,":",H60),""))</f>
        <v>2:3</v>
      </c>
      <c r="J60" s="19" t="str">
        <f aca="false">IFERROR(VLOOKUP(I60,Variables!$A$22:$B$47,2,FALSE()),"Por definir")</f>
        <v>MEDIO</v>
      </c>
      <c r="K60" s="17" t="s">
        <v>325</v>
      </c>
      <c r="L60" s="17" t="s">
        <v>334</v>
      </c>
      <c r="M60" s="19" t="n">
        <f aca="false">IF(I60="OM","N/A",IFERROR(F60*H60,""))</f>
        <v>6</v>
      </c>
      <c r="N60" s="17" t="s">
        <v>327</v>
      </c>
      <c r="O60" s="17" t="str">
        <f aca="false">IFERROR(VLOOKUP(J60,Variables!$A$51:$B$55,2,FALSE()),"")</f>
        <v>Riesgo manejable. Requiere medidas correctivas (60-90 días). Monitoreo trimestral.</v>
      </c>
    </row>
    <row r="61" customFormat="false" ht="60" hidden="false" customHeight="true" outlineLevel="0" collapsed="false">
      <c r="A61" s="21" t="s">
        <v>335</v>
      </c>
      <c r="B61" s="22" t="s">
        <v>93</v>
      </c>
      <c r="C61" s="23" t="s">
        <v>336</v>
      </c>
      <c r="D61" s="24" t="s">
        <v>337</v>
      </c>
      <c r="E61" s="11" t="s">
        <v>10</v>
      </c>
      <c r="F61" s="25" t="n">
        <f aca="false">IFERROR(VLOOKUP(E61,Variables!$A$6:$E$10,5,0),"")</f>
        <v>3</v>
      </c>
      <c r="G61" s="11" t="s">
        <v>23</v>
      </c>
      <c r="H61" s="25" t="n">
        <f aca="false">IFERROR(VLOOKUP(G61,Variables!$A$14:$E$18,5,0),"")</f>
        <v>2</v>
      </c>
      <c r="I61" s="11" t="str">
        <f aca="false">IF(B61="Oportunidad de Mejora","OM",IFERROR(CONCATENATE(F61,":",H61),""))</f>
        <v>3:2</v>
      </c>
      <c r="J61" s="11" t="str">
        <f aca="false">IFERROR(VLOOKUP(I61,Variables!$A$22:$B$47,2,FALSE()),"Por definir")</f>
        <v>MEDIO</v>
      </c>
      <c r="K61" s="23" t="s">
        <v>325</v>
      </c>
      <c r="L61" s="23" t="s">
        <v>338</v>
      </c>
      <c r="M61" s="11" t="n">
        <f aca="false">IF(I61="OM","N/A",IFERROR(F61*H61,""))</f>
        <v>6</v>
      </c>
      <c r="N61" s="23" t="s">
        <v>146</v>
      </c>
      <c r="O61" s="23" t="str">
        <f aca="false">IFERROR(VLOOKUP(J61,Variables!$A$51:$B$55,2,FALSE()),"")</f>
        <v>Riesgo manejable. Requiere medidas correctivas (60-90 días). Monitoreo trimestral.</v>
      </c>
    </row>
    <row r="62" customFormat="false" ht="64.5" hidden="false" customHeight="true" outlineLevel="0" collapsed="false">
      <c r="A62" s="15" t="s">
        <v>339</v>
      </c>
      <c r="B62" s="16" t="s">
        <v>93</v>
      </c>
      <c r="C62" s="17" t="s">
        <v>340</v>
      </c>
      <c r="D62" s="18" t="s">
        <v>131</v>
      </c>
      <c r="E62" s="19" t="s">
        <v>12</v>
      </c>
      <c r="F62" s="20" t="n">
        <f aca="false">IFERROR(VLOOKUP(E62,Variables!$A$6:$E$10,5,0),"")</f>
        <v>2</v>
      </c>
      <c r="G62" s="19" t="s">
        <v>23</v>
      </c>
      <c r="H62" s="20" t="n">
        <f aca="false">IFERROR(VLOOKUP(G62,Variables!$A$14:$E$18,5,0),"")</f>
        <v>2</v>
      </c>
      <c r="I62" s="19" t="str">
        <f aca="false">IF(B62="Oportunidad de Mejora","OM",IFERROR(CONCATENATE(F62,":",H62),""))</f>
        <v>2:2</v>
      </c>
      <c r="J62" s="19" t="str">
        <f aca="false">IFERROR(VLOOKUP(I62,Variables!$A$22:$B$47,2,FALSE()),"Por definir")</f>
        <v>MEDIO</v>
      </c>
      <c r="K62" s="17" t="s">
        <v>325</v>
      </c>
      <c r="L62" s="17" t="s">
        <v>341</v>
      </c>
      <c r="M62" s="19" t="n">
        <f aca="false">IF(I62="OM","N/A",IFERROR(F62*H62,""))</f>
        <v>4</v>
      </c>
      <c r="N62" s="17" t="s">
        <v>327</v>
      </c>
      <c r="O62" s="17" t="str">
        <f aca="false">IFERROR(VLOOKUP(J62,Variables!$A$51:$B$55,2,FALSE()),"")</f>
        <v>Riesgo manejable. Requiere medidas correctivas (60-90 días). Monitoreo trimestral.</v>
      </c>
    </row>
    <row r="63" customFormat="false" ht="64.5" hidden="false" customHeight="true" outlineLevel="0" collapsed="false">
      <c r="A63" s="21" t="s">
        <v>342</v>
      </c>
      <c r="B63" s="22" t="s">
        <v>343</v>
      </c>
      <c r="C63" s="23" t="s">
        <v>344</v>
      </c>
      <c r="D63" s="24" t="s">
        <v>345</v>
      </c>
      <c r="E63" s="11" t="s">
        <v>12</v>
      </c>
      <c r="F63" s="25" t="n">
        <f aca="false">IFERROR(VLOOKUP(E63,Variables!$A$6:$E$10,5,0),"")</f>
        <v>2</v>
      </c>
      <c r="G63" s="11" t="s">
        <v>23</v>
      </c>
      <c r="H63" s="25" t="n">
        <f aca="false">IFERROR(VLOOKUP(G63,Variables!$A$14:$E$18,5,0),"")</f>
        <v>2</v>
      </c>
      <c r="I63" s="11" t="str">
        <f aca="false">IF(B63="Oportunidad de Mejora","OM",IFERROR(CONCATENATE(F63,":",H63),""))</f>
        <v>OM</v>
      </c>
      <c r="J63" s="11" t="str">
        <f aca="false">IFERROR(VLOOKUP(I63,Variables!$A$22:$B$47,2,FALSE()),"Por definir")</f>
        <v>OPT. DE MEJORA</v>
      </c>
      <c r="K63" s="23" t="s">
        <v>346</v>
      </c>
      <c r="L63" s="23" t="s">
        <v>347</v>
      </c>
      <c r="M63" s="11" t="str">
        <f aca="false">IF(I63="OM","N/A",IFERROR(F63*H63,""))</f>
        <v>N/A</v>
      </c>
      <c r="N63" s="23" t="s">
        <v>348</v>
      </c>
      <c r="O63" s="23" t="str">
        <f aca="false">IFERROR(VLOOKUP(J63,Variables!$A$51:$B$55,2,FALSE()),"")</f>
        <v>No es hallazgo de incumplimiento. Mejora preventiva o de adecuación normativa prospectiva.</v>
      </c>
    </row>
    <row r="64" customFormat="false" ht="60" hidden="false" customHeight="true" outlineLevel="0" collapsed="false">
      <c r="A64" s="15" t="s">
        <v>349</v>
      </c>
      <c r="B64" s="16" t="s">
        <v>343</v>
      </c>
      <c r="C64" s="17" t="s">
        <v>350</v>
      </c>
      <c r="D64" s="18" t="s">
        <v>351</v>
      </c>
      <c r="E64" s="19" t="s">
        <v>12</v>
      </c>
      <c r="F64" s="20" t="n">
        <f aca="false">IFERROR(VLOOKUP(E64,Variables!$A$6:$E$10,5,0),"")</f>
        <v>2</v>
      </c>
      <c r="G64" s="19" t="s">
        <v>23</v>
      </c>
      <c r="H64" s="20" t="n">
        <f aca="false">IFERROR(VLOOKUP(G64,Variables!$A$14:$E$18,5,0),"")</f>
        <v>2</v>
      </c>
      <c r="I64" s="19" t="str">
        <f aca="false">IF(B64="Oportunidad de Mejora","OM",IFERROR(CONCATENATE(F64,":",H64),""))</f>
        <v>OM</v>
      </c>
      <c r="J64" s="19" t="str">
        <f aca="false">IFERROR(VLOOKUP(I64,Variables!$A$22:$B$47,2,FALSE()),"Por definir")</f>
        <v>OPT. DE MEJORA</v>
      </c>
      <c r="K64" s="17" t="s">
        <v>346</v>
      </c>
      <c r="L64" s="17" t="s">
        <v>347</v>
      </c>
      <c r="M64" s="19" t="str">
        <f aca="false">IF(I64="OM","N/A",IFERROR(F64*H64,""))</f>
        <v>N/A</v>
      </c>
      <c r="N64" s="17" t="s">
        <v>348</v>
      </c>
      <c r="O64" s="17" t="str">
        <f aca="false">IFERROR(VLOOKUP(J64,Variables!$A$51:$B$55,2,FALSE()),"")</f>
        <v>No es hallazgo de incumplimiento. Mejora preventiva o de adecuación normativa prospectiva.</v>
      </c>
    </row>
    <row r="65" customFormat="false" ht="64.5" hidden="false" customHeight="true" outlineLevel="0" collapsed="false">
      <c r="A65" s="21" t="s">
        <v>352</v>
      </c>
      <c r="B65" s="22" t="s">
        <v>343</v>
      </c>
      <c r="C65" s="23" t="s">
        <v>353</v>
      </c>
      <c r="D65" s="24" t="s">
        <v>354</v>
      </c>
      <c r="E65" s="11" t="s">
        <v>12</v>
      </c>
      <c r="F65" s="25" t="n">
        <f aca="false">IFERROR(VLOOKUP(E65,Variables!$A$6:$E$10,5,0),"")</f>
        <v>2</v>
      </c>
      <c r="G65" s="11" t="s">
        <v>23</v>
      </c>
      <c r="H65" s="25" t="n">
        <f aca="false">IFERROR(VLOOKUP(G65,Variables!$A$14:$E$18,5,0),"")</f>
        <v>2</v>
      </c>
      <c r="I65" s="11" t="str">
        <f aca="false">IF(B65="Oportunidad de Mejora","OM",IFERROR(CONCATENATE(F65,":",H65),""))</f>
        <v>OM</v>
      </c>
      <c r="J65" s="11" t="str">
        <f aca="false">IFERROR(VLOOKUP(I65,Variables!$A$22:$B$47,2,FALSE()),"Por definir")</f>
        <v>OPT. DE MEJORA</v>
      </c>
      <c r="K65" s="23" t="s">
        <v>346</v>
      </c>
      <c r="L65" s="23" t="s">
        <v>347</v>
      </c>
      <c r="M65" s="11" t="str">
        <f aca="false">IF(I65="OM","N/A",IFERROR(F65*H65,""))</f>
        <v>N/A</v>
      </c>
      <c r="N65" s="23" t="s">
        <v>348</v>
      </c>
      <c r="O65" s="23" t="str">
        <f aca="false">IFERROR(VLOOKUP(J65,Variables!$A$51:$B$55,2,FALSE()),"")</f>
        <v>No es hallazgo de incumplimiento. Mejora preventiva o de adecuación normativa prospectiva.</v>
      </c>
    </row>
    <row r="66" customFormat="false" ht="78" hidden="false" customHeight="true" outlineLevel="0" collapsed="false">
      <c r="A66" s="15" t="s">
        <v>355</v>
      </c>
      <c r="B66" s="16" t="s">
        <v>343</v>
      </c>
      <c r="C66" s="17" t="s">
        <v>356</v>
      </c>
      <c r="D66" s="18" t="s">
        <v>357</v>
      </c>
      <c r="E66" s="19" t="s">
        <v>10</v>
      </c>
      <c r="F66" s="20" t="n">
        <f aca="false">IFERROR(VLOOKUP(E66,Variables!$A$6:$E$10,5,0),"")</f>
        <v>3</v>
      </c>
      <c r="G66" s="19" t="s">
        <v>21</v>
      </c>
      <c r="H66" s="20" t="n">
        <f aca="false">IFERROR(VLOOKUP(G66,Variables!$A$14:$E$18,5,0),"")</f>
        <v>3</v>
      </c>
      <c r="I66" s="19" t="str">
        <f aca="false">IF(B66="Oportunidad de Mejora","OM",IFERROR(CONCATENATE(F66,":",H66),""))</f>
        <v>OM</v>
      </c>
      <c r="J66" s="19" t="str">
        <f aca="false">IFERROR(VLOOKUP(I66,Variables!$A$22:$B$47,2,FALSE()),"Por definir")</f>
        <v>OPT. DE MEJORA</v>
      </c>
      <c r="K66" s="17" t="s">
        <v>358</v>
      </c>
      <c r="L66" s="17" t="s">
        <v>359</v>
      </c>
      <c r="M66" s="19" t="str">
        <f aca="false">IF(I66="OM","N/A",IFERROR(F66*H66,""))</f>
        <v>N/A</v>
      </c>
      <c r="N66" s="17" t="s">
        <v>360</v>
      </c>
      <c r="O66" s="17" t="str">
        <f aca="false">IFERROR(VLOOKUP(J66,Variables!$A$51:$B$55,2,FALSE()),"")</f>
        <v>No es hallazgo de incumplimiento. Mejora preventiva o de adecuación normativa prospectiva.</v>
      </c>
    </row>
    <row r="67" customFormat="false" ht="60" hidden="false" customHeight="true" outlineLevel="0" collapsed="false">
      <c r="A67" s="21" t="s">
        <v>361</v>
      </c>
      <c r="B67" s="22" t="s">
        <v>343</v>
      </c>
      <c r="C67" s="23" t="s">
        <v>362</v>
      </c>
      <c r="D67" s="24" t="s">
        <v>363</v>
      </c>
      <c r="E67" s="11" t="s">
        <v>10</v>
      </c>
      <c r="F67" s="25" t="n">
        <f aca="false">IFERROR(VLOOKUP(E67,Variables!$A$6:$E$10,5,0),"")</f>
        <v>3</v>
      </c>
      <c r="G67" s="11" t="s">
        <v>21</v>
      </c>
      <c r="H67" s="25" t="n">
        <f aca="false">IFERROR(VLOOKUP(G67,Variables!$A$14:$E$18,5,0),"")</f>
        <v>3</v>
      </c>
      <c r="I67" s="11" t="str">
        <f aca="false">IF(B67="Oportunidad de Mejora","OM",IFERROR(CONCATENATE(F67,":",H67),""))</f>
        <v>OM</v>
      </c>
      <c r="J67" s="11" t="str">
        <f aca="false">IFERROR(VLOOKUP(I67,Variables!$A$22:$B$47,2,FALSE()),"Por definir")</f>
        <v>OPT. DE MEJORA</v>
      </c>
      <c r="K67" s="23" t="s">
        <v>358</v>
      </c>
      <c r="L67" s="23" t="s">
        <v>359</v>
      </c>
      <c r="M67" s="11" t="str">
        <f aca="false">IF(I67="OM","N/A",IFERROR(F67*H67,""))</f>
        <v>N/A</v>
      </c>
      <c r="N67" s="23" t="s">
        <v>360</v>
      </c>
      <c r="O67" s="23" t="str">
        <f aca="false">IFERROR(VLOOKUP(J67,Variables!$A$51:$B$55,2,FALSE()),"")</f>
        <v>No es hallazgo de incumplimiento. Mejora preventiva o de adecuación normativa prospectiva.</v>
      </c>
    </row>
    <row r="68" customFormat="false" ht="60" hidden="false" customHeight="true" outlineLevel="0" collapsed="false">
      <c r="A68" s="15" t="s">
        <v>364</v>
      </c>
      <c r="B68" s="16" t="s">
        <v>343</v>
      </c>
      <c r="C68" s="17" t="s">
        <v>362</v>
      </c>
      <c r="D68" s="18" t="s">
        <v>365</v>
      </c>
      <c r="E68" s="19" t="s">
        <v>10</v>
      </c>
      <c r="F68" s="20" t="n">
        <f aca="false">IFERROR(VLOOKUP(E68,Variables!$A$6:$E$10,5,0),"")</f>
        <v>3</v>
      </c>
      <c r="G68" s="19" t="s">
        <v>21</v>
      </c>
      <c r="H68" s="20" t="n">
        <f aca="false">IFERROR(VLOOKUP(G68,Variables!$A$14:$E$18,5,0),"")</f>
        <v>3</v>
      </c>
      <c r="I68" s="19" t="str">
        <f aca="false">IF(B68="Oportunidad de Mejora","OM",IFERROR(CONCATENATE(F68,":",H68),""))</f>
        <v>OM</v>
      </c>
      <c r="J68" s="19" t="str">
        <f aca="false">IFERROR(VLOOKUP(I68,Variables!$A$22:$B$47,2,FALSE()),"Por definir")</f>
        <v>OPT. DE MEJORA</v>
      </c>
      <c r="K68" s="17" t="s">
        <v>358</v>
      </c>
      <c r="L68" s="17" t="s">
        <v>359</v>
      </c>
      <c r="M68" s="19" t="str">
        <f aca="false">IF(I68="OM","N/A",IFERROR(F68*H68,""))</f>
        <v>N/A</v>
      </c>
      <c r="N68" s="17" t="s">
        <v>360</v>
      </c>
      <c r="O68" s="17" t="str">
        <f aca="false">IFERROR(VLOOKUP(J68,Variables!$A$51:$B$55,2,FALSE()),"")</f>
        <v>No es hallazgo de incumplimiento. Mejora preventiva o de adecuación normativa prospectiva.</v>
      </c>
    </row>
    <row r="69" customFormat="false" ht="60" hidden="false" customHeight="true" outlineLevel="0" collapsed="false">
      <c r="A69" s="21" t="s">
        <v>366</v>
      </c>
      <c r="B69" s="22" t="s">
        <v>343</v>
      </c>
      <c r="C69" s="23" t="s">
        <v>367</v>
      </c>
      <c r="D69" s="24" t="s">
        <v>368</v>
      </c>
      <c r="E69" s="11" t="s">
        <v>12</v>
      </c>
      <c r="F69" s="25" t="n">
        <f aca="false">IFERROR(VLOOKUP(E69,Variables!$A$6:$E$10,5,0),"")</f>
        <v>2</v>
      </c>
      <c r="G69" s="11" t="s">
        <v>21</v>
      </c>
      <c r="H69" s="25" t="n">
        <f aca="false">IFERROR(VLOOKUP(G69,Variables!$A$14:$E$18,5,0),"")</f>
        <v>3</v>
      </c>
      <c r="I69" s="11" t="str">
        <f aca="false">IF(B69="Oportunidad de Mejora","OM",IFERROR(CONCATENATE(F69,":",H69),""))</f>
        <v>OM</v>
      </c>
      <c r="J69" s="11" t="str">
        <f aca="false">IFERROR(VLOOKUP(I69,Variables!$A$22:$B$47,2,FALSE()),"Por definir")</f>
        <v>OPT. DE MEJORA</v>
      </c>
      <c r="K69" s="23" t="s">
        <v>358</v>
      </c>
      <c r="L69" s="23" t="s">
        <v>359</v>
      </c>
      <c r="M69" s="11" t="str">
        <f aca="false">IF(I69="OM","N/A",IFERROR(F69*H69,""))</f>
        <v>N/A</v>
      </c>
      <c r="N69" s="23" t="s">
        <v>369</v>
      </c>
      <c r="O69" s="23" t="str">
        <f aca="false">IFERROR(VLOOKUP(J69,Variables!$A$51:$B$55,2,FALSE()),"")</f>
        <v>No es hallazgo de incumplimiento. Mejora preventiva o de adecuación normativa prospectiva.</v>
      </c>
    </row>
    <row r="70" customFormat="false" ht="60" hidden="false" customHeight="true" outlineLevel="0" collapsed="false">
      <c r="A70" s="15" t="s">
        <v>370</v>
      </c>
      <c r="B70" s="16" t="s">
        <v>343</v>
      </c>
      <c r="C70" s="17" t="s">
        <v>371</v>
      </c>
      <c r="D70" s="18" t="s">
        <v>372</v>
      </c>
      <c r="E70" s="19" t="s">
        <v>12</v>
      </c>
      <c r="F70" s="20" t="n">
        <f aca="false">IFERROR(VLOOKUP(E70,Variables!$A$6:$E$10,5,0),"")</f>
        <v>2</v>
      </c>
      <c r="G70" s="19" t="s">
        <v>21</v>
      </c>
      <c r="H70" s="20" t="n">
        <f aca="false">IFERROR(VLOOKUP(G70,Variables!$A$14:$E$18,5,0),"")</f>
        <v>3</v>
      </c>
      <c r="I70" s="19" t="str">
        <f aca="false">IF(B70="Oportunidad de Mejora","OM",IFERROR(CONCATENATE(F70,":",H70),""))</f>
        <v>OM</v>
      </c>
      <c r="J70" s="19" t="str">
        <f aca="false">IFERROR(VLOOKUP(I70,Variables!$A$22:$B$47,2,FALSE()),"Por definir")</f>
        <v>OPT. DE MEJORA</v>
      </c>
      <c r="K70" s="17" t="s">
        <v>358</v>
      </c>
      <c r="L70" s="17" t="s">
        <v>359</v>
      </c>
      <c r="M70" s="19" t="str">
        <f aca="false">IF(I70="OM","N/A",IFERROR(F70*H70,""))</f>
        <v>N/A</v>
      </c>
      <c r="N70" s="17" t="s">
        <v>369</v>
      </c>
      <c r="O70" s="17" t="str">
        <f aca="false">IFERROR(VLOOKUP(J70,Variables!$A$51:$B$55,2,FALSE()),"")</f>
        <v>No es hallazgo de incumplimiento. Mejora preventiva o de adecuación normativa prospectiva.</v>
      </c>
    </row>
    <row r="71" customFormat="false" ht="64.5" hidden="false" customHeight="true" outlineLevel="0" collapsed="false">
      <c r="A71" s="21" t="s">
        <v>373</v>
      </c>
      <c r="B71" s="22" t="s">
        <v>343</v>
      </c>
      <c r="C71" s="23" t="s">
        <v>374</v>
      </c>
      <c r="D71" s="24" t="s">
        <v>375</v>
      </c>
      <c r="E71" s="11" t="s">
        <v>12</v>
      </c>
      <c r="F71" s="25" t="n">
        <f aca="false">IFERROR(VLOOKUP(E71,Variables!$A$6:$E$10,5,0),"")</f>
        <v>2</v>
      </c>
      <c r="G71" s="11" t="s">
        <v>21</v>
      </c>
      <c r="H71" s="25" t="n">
        <f aca="false">IFERROR(VLOOKUP(G71,Variables!$A$14:$E$18,5,0),"")</f>
        <v>3</v>
      </c>
      <c r="I71" s="11" t="str">
        <f aca="false">IF(B71="Oportunidad de Mejora","OM",IFERROR(CONCATENATE(F71,":",H71),""))</f>
        <v>OM</v>
      </c>
      <c r="J71" s="11" t="str">
        <f aca="false">IFERROR(VLOOKUP(I71,Variables!$A$22:$B$47,2,FALSE()),"Por definir")</f>
        <v>OPT. DE MEJORA</v>
      </c>
      <c r="K71" s="23" t="s">
        <v>358</v>
      </c>
      <c r="L71" s="23" t="s">
        <v>359</v>
      </c>
      <c r="M71" s="11" t="str">
        <f aca="false">IF(I71="OM","N/A",IFERROR(F71*H71,""))</f>
        <v>N/A</v>
      </c>
      <c r="N71" s="23" t="s">
        <v>369</v>
      </c>
      <c r="O71" s="23" t="str">
        <f aca="false">IFERROR(VLOOKUP(J71,Variables!$A$51:$B$55,2,FALSE()),"")</f>
        <v>No es hallazgo de incumplimiento. Mejora preventiva o de adecuación normativa prospectiva.</v>
      </c>
    </row>
    <row r="72" customFormat="false" ht="60" hidden="false" customHeight="true" outlineLevel="0" collapsed="false">
      <c r="A72" s="15" t="s">
        <v>376</v>
      </c>
      <c r="B72" s="16" t="s">
        <v>343</v>
      </c>
      <c r="C72" s="17" t="s">
        <v>374</v>
      </c>
      <c r="D72" s="18" t="s">
        <v>377</v>
      </c>
      <c r="E72" s="19" t="s">
        <v>12</v>
      </c>
      <c r="F72" s="20" t="n">
        <f aca="false">IFERROR(VLOOKUP(E72,Variables!$A$6:$E$10,5,0),"")</f>
        <v>2</v>
      </c>
      <c r="G72" s="19" t="s">
        <v>21</v>
      </c>
      <c r="H72" s="20" t="n">
        <f aca="false">IFERROR(VLOOKUP(G72,Variables!$A$14:$E$18,5,0),"")</f>
        <v>3</v>
      </c>
      <c r="I72" s="19" t="str">
        <f aca="false">IF(B72="Oportunidad de Mejora","OM",IFERROR(CONCATENATE(F72,":",H72),""))</f>
        <v>OM</v>
      </c>
      <c r="J72" s="19" t="str">
        <f aca="false">IFERROR(VLOOKUP(I72,Variables!$A$22:$B$47,2,FALSE()),"Por definir")</f>
        <v>OPT. DE MEJORA</v>
      </c>
      <c r="K72" s="17" t="s">
        <v>358</v>
      </c>
      <c r="L72" s="17" t="s">
        <v>359</v>
      </c>
      <c r="M72" s="19" t="str">
        <f aca="false">IF(I72="OM","N/A",IFERROR(F72*H72,""))</f>
        <v>N/A</v>
      </c>
      <c r="N72" s="17" t="s">
        <v>369</v>
      </c>
      <c r="O72" s="17" t="str">
        <f aca="false">IFERROR(VLOOKUP(J72,Variables!$A$51:$B$55,2,FALSE()),"")</f>
        <v>No es hallazgo de incumplimiento. Mejora preventiva o de adecuación normativa prospectiva.</v>
      </c>
    </row>
    <row r="73" customFormat="false" ht="60" hidden="false" customHeight="true" outlineLevel="0" collapsed="false">
      <c r="A73" s="21" t="s">
        <v>378</v>
      </c>
      <c r="B73" s="22" t="s">
        <v>343</v>
      </c>
      <c r="C73" s="23" t="s">
        <v>379</v>
      </c>
      <c r="D73" s="24" t="s">
        <v>380</v>
      </c>
      <c r="E73" s="11" t="s">
        <v>10</v>
      </c>
      <c r="F73" s="25" t="n">
        <f aca="false">IFERROR(VLOOKUP(E73,Variables!$A$6:$E$10,5,0),"")</f>
        <v>3</v>
      </c>
      <c r="G73" s="11" t="s">
        <v>21</v>
      </c>
      <c r="H73" s="25" t="n">
        <f aca="false">IFERROR(VLOOKUP(G73,Variables!$A$14:$E$18,5,0),"")</f>
        <v>3</v>
      </c>
      <c r="I73" s="11" t="str">
        <f aca="false">IF(B73="Oportunidad de Mejora","OM",IFERROR(CONCATENATE(F73,":",H73),""))</f>
        <v>OM</v>
      </c>
      <c r="J73" s="11" t="str">
        <f aca="false">IFERROR(VLOOKUP(I73,Variables!$A$22:$B$47,2,FALSE()),"Por definir")</f>
        <v>OPT. DE MEJORA</v>
      </c>
      <c r="K73" s="23" t="s">
        <v>358</v>
      </c>
      <c r="L73" s="23" t="s">
        <v>359</v>
      </c>
      <c r="M73" s="11" t="str">
        <f aca="false">IF(I73="OM","N/A",IFERROR(F73*H73,""))</f>
        <v>N/A</v>
      </c>
      <c r="N73" s="23" t="s">
        <v>360</v>
      </c>
      <c r="O73" s="23" t="str">
        <f aca="false">IFERROR(VLOOKUP(J73,Variables!$A$51:$B$55,2,FALSE()),"")</f>
        <v>No es hallazgo de incumplimiento. Mejora preventiva o de adecuación normativa prospectiva.</v>
      </c>
    </row>
    <row r="74" customFormat="false" ht="60" hidden="false" customHeight="true" outlineLevel="0" collapsed="false">
      <c r="A74" s="15" t="s">
        <v>381</v>
      </c>
      <c r="B74" s="16" t="s">
        <v>343</v>
      </c>
      <c r="C74" s="17" t="s">
        <v>379</v>
      </c>
      <c r="D74" s="18" t="s">
        <v>382</v>
      </c>
      <c r="E74" s="19" t="s">
        <v>12</v>
      </c>
      <c r="F74" s="20" t="n">
        <f aca="false">IFERROR(VLOOKUP(E74,Variables!$A$6:$E$10,5,0),"")</f>
        <v>2</v>
      </c>
      <c r="G74" s="19" t="s">
        <v>21</v>
      </c>
      <c r="H74" s="20" t="n">
        <f aca="false">IFERROR(VLOOKUP(G74,Variables!$A$14:$E$18,5,0),"")</f>
        <v>3</v>
      </c>
      <c r="I74" s="19" t="str">
        <f aca="false">IF(B74="Oportunidad de Mejora","OM",IFERROR(CONCATENATE(F74,":",H74),""))</f>
        <v>OM</v>
      </c>
      <c r="J74" s="19" t="str">
        <f aca="false">IFERROR(VLOOKUP(I74,Variables!$A$22:$B$47,2,FALSE()),"Por definir")</f>
        <v>OPT. DE MEJORA</v>
      </c>
      <c r="K74" s="17" t="s">
        <v>358</v>
      </c>
      <c r="L74" s="17" t="s">
        <v>359</v>
      </c>
      <c r="M74" s="19" t="str">
        <f aca="false">IF(I74="OM","N/A",IFERROR(F74*H74,""))</f>
        <v>N/A</v>
      </c>
      <c r="N74" s="17" t="s">
        <v>369</v>
      </c>
      <c r="O74" s="17" t="str">
        <f aca="false">IFERROR(VLOOKUP(J74,Variables!$A$51:$B$55,2,FALSE()),"")</f>
        <v>No es hallazgo de incumplimiento. Mejora preventiva o de adecuación normativa prospectiva.</v>
      </c>
    </row>
    <row r="75" customFormat="false" ht="60" hidden="false" customHeight="true" outlineLevel="0" collapsed="false">
      <c r="A75" s="21" t="s">
        <v>383</v>
      </c>
      <c r="B75" s="22" t="s">
        <v>343</v>
      </c>
      <c r="C75" s="23" t="s">
        <v>379</v>
      </c>
      <c r="D75" s="24" t="s">
        <v>384</v>
      </c>
      <c r="E75" s="11" t="s">
        <v>12</v>
      </c>
      <c r="F75" s="25" t="n">
        <f aca="false">IFERROR(VLOOKUP(E75,Variables!$A$6:$E$10,5,0),"")</f>
        <v>2</v>
      </c>
      <c r="G75" s="11" t="s">
        <v>21</v>
      </c>
      <c r="H75" s="25" t="n">
        <f aca="false">IFERROR(VLOOKUP(G75,Variables!$A$14:$E$18,5,0),"")</f>
        <v>3</v>
      </c>
      <c r="I75" s="11" t="str">
        <f aca="false">IF(B75="Oportunidad de Mejora","OM",IFERROR(CONCATENATE(F75,":",H75),""))</f>
        <v>OM</v>
      </c>
      <c r="J75" s="11" t="str">
        <f aca="false">IFERROR(VLOOKUP(I75,Variables!$A$22:$B$47,2,FALSE()),"Por definir")</f>
        <v>OPT. DE MEJORA</v>
      </c>
      <c r="K75" s="23" t="s">
        <v>358</v>
      </c>
      <c r="L75" s="23" t="s">
        <v>359</v>
      </c>
      <c r="M75" s="11" t="str">
        <f aca="false">IF(I75="OM","N/A",IFERROR(F75*H75,""))</f>
        <v>N/A</v>
      </c>
      <c r="N75" s="23" t="s">
        <v>369</v>
      </c>
      <c r="O75" s="23" t="str">
        <f aca="false">IFERROR(VLOOKUP(J75,Variables!$A$51:$B$55,2,FALSE()),"")</f>
        <v>No es hallazgo de incumplimiento. Mejora preventiva o de adecuación normativa prospectiva.</v>
      </c>
    </row>
    <row r="76" customFormat="false" ht="60" hidden="false" customHeight="true" outlineLevel="0" collapsed="false">
      <c r="A76" s="15" t="s">
        <v>385</v>
      </c>
      <c r="B76" s="16" t="s">
        <v>343</v>
      </c>
      <c r="C76" s="17" t="s">
        <v>379</v>
      </c>
      <c r="D76" s="18" t="s">
        <v>386</v>
      </c>
      <c r="E76" s="19" t="s">
        <v>10</v>
      </c>
      <c r="F76" s="20" t="n">
        <f aca="false">IFERROR(VLOOKUP(E76,Variables!$A$6:$E$10,5,0),"")</f>
        <v>3</v>
      </c>
      <c r="G76" s="19" t="s">
        <v>21</v>
      </c>
      <c r="H76" s="20" t="n">
        <f aca="false">IFERROR(VLOOKUP(G76,Variables!$A$14:$E$18,5,0),"")</f>
        <v>3</v>
      </c>
      <c r="I76" s="19" t="str">
        <f aca="false">IF(B76="Oportunidad de Mejora","OM",IFERROR(CONCATENATE(F76,":",H76),""))</f>
        <v>OM</v>
      </c>
      <c r="J76" s="19" t="str">
        <f aca="false">IFERROR(VLOOKUP(I76,Variables!$A$22:$B$47,2,FALSE()),"Por definir")</f>
        <v>OPT. DE MEJORA</v>
      </c>
      <c r="K76" s="17" t="s">
        <v>358</v>
      </c>
      <c r="L76" s="17" t="s">
        <v>359</v>
      </c>
      <c r="M76" s="19" t="str">
        <f aca="false">IF(I76="OM","N/A",IFERROR(F76*H76,""))</f>
        <v>N/A</v>
      </c>
      <c r="N76" s="17" t="s">
        <v>360</v>
      </c>
      <c r="O76" s="17" t="str">
        <f aca="false">IFERROR(VLOOKUP(J76,Variables!$A$51:$B$55,2,FALSE()),"")</f>
        <v>No es hallazgo de incumplimiento. Mejora preventiva o de adecuación normativa prospectiva.</v>
      </c>
    </row>
    <row r="77" customFormat="false" ht="60" hidden="false" customHeight="true" outlineLevel="0" collapsed="false">
      <c r="A77" s="21" t="s">
        <v>387</v>
      </c>
      <c r="B77" s="22" t="s">
        <v>343</v>
      </c>
      <c r="C77" s="23" t="s">
        <v>379</v>
      </c>
      <c r="D77" s="24" t="s">
        <v>388</v>
      </c>
      <c r="E77" s="11" t="s">
        <v>12</v>
      </c>
      <c r="F77" s="25" t="n">
        <f aca="false">IFERROR(VLOOKUP(E77,Variables!$A$6:$E$10,5,0),"")</f>
        <v>2</v>
      </c>
      <c r="G77" s="11" t="s">
        <v>21</v>
      </c>
      <c r="H77" s="25" t="n">
        <f aca="false">IFERROR(VLOOKUP(G77,Variables!$A$14:$E$18,5,0),"")</f>
        <v>3</v>
      </c>
      <c r="I77" s="11" t="str">
        <f aca="false">IF(B77="Oportunidad de Mejora","OM",IFERROR(CONCATENATE(F77,":",H77),""))</f>
        <v>OM</v>
      </c>
      <c r="J77" s="11" t="str">
        <f aca="false">IFERROR(VLOOKUP(I77,Variables!$A$22:$B$47,2,FALSE()),"Por definir")</f>
        <v>OPT. DE MEJORA</v>
      </c>
      <c r="K77" s="23" t="s">
        <v>358</v>
      </c>
      <c r="L77" s="23" t="s">
        <v>359</v>
      </c>
      <c r="M77" s="11" t="str">
        <f aca="false">IF(I77="OM","N/A",IFERROR(F77*H77,""))</f>
        <v>N/A</v>
      </c>
      <c r="N77" s="23" t="s">
        <v>369</v>
      </c>
      <c r="O77" s="23" t="str">
        <f aca="false">IFERROR(VLOOKUP(J77,Variables!$A$51:$B$55,2,FALSE()),"")</f>
        <v>No es hallazgo de incumplimiento. Mejora preventiva o de adecuación normativa prospectiva.</v>
      </c>
    </row>
    <row r="78" customFormat="false" ht="60" hidden="false" customHeight="true" outlineLevel="0" collapsed="false">
      <c r="A78" s="15" t="s">
        <v>389</v>
      </c>
      <c r="B78" s="16" t="s">
        <v>343</v>
      </c>
      <c r="C78" s="17" t="s">
        <v>379</v>
      </c>
      <c r="D78" s="18" t="s">
        <v>390</v>
      </c>
      <c r="E78" s="19" t="s">
        <v>12</v>
      </c>
      <c r="F78" s="20" t="n">
        <f aca="false">IFERROR(VLOOKUP(E78,Variables!$A$6:$E$10,5,0),"")</f>
        <v>2</v>
      </c>
      <c r="G78" s="19" t="s">
        <v>21</v>
      </c>
      <c r="H78" s="20" t="n">
        <f aca="false">IFERROR(VLOOKUP(G78,Variables!$A$14:$E$18,5,0),"")</f>
        <v>3</v>
      </c>
      <c r="I78" s="19" t="str">
        <f aca="false">IF(B78="Oportunidad de Mejora","OM",IFERROR(CONCATENATE(F78,":",H78),""))</f>
        <v>OM</v>
      </c>
      <c r="J78" s="19" t="str">
        <f aca="false">IFERROR(VLOOKUP(I78,Variables!$A$22:$B$47,2,FALSE()),"Por definir")</f>
        <v>OPT. DE MEJORA</v>
      </c>
      <c r="K78" s="17" t="s">
        <v>358</v>
      </c>
      <c r="L78" s="17" t="s">
        <v>359</v>
      </c>
      <c r="M78" s="19" t="str">
        <f aca="false">IF(I78="OM","N/A",IFERROR(F78*H78,""))</f>
        <v>N/A</v>
      </c>
      <c r="N78" s="17" t="s">
        <v>369</v>
      </c>
      <c r="O78" s="17" t="str">
        <f aca="false">IFERROR(VLOOKUP(J78,Variables!$A$51:$B$55,2,FALSE()),"")</f>
        <v>No es hallazgo de incumplimiento. Mejora preventiva o de adecuación normativa prospectiva.</v>
      </c>
    </row>
    <row r="79" customFormat="false" ht="60" hidden="false" customHeight="true" outlineLevel="0" collapsed="false">
      <c r="A79" s="21" t="s">
        <v>391</v>
      </c>
      <c r="B79" s="22" t="s">
        <v>343</v>
      </c>
      <c r="C79" s="23" t="s">
        <v>374</v>
      </c>
      <c r="D79" s="24" t="s">
        <v>392</v>
      </c>
      <c r="E79" s="11" t="s">
        <v>12</v>
      </c>
      <c r="F79" s="25" t="n">
        <f aca="false">IFERROR(VLOOKUP(E79,Variables!$A$6:$E$10,5,0),"")</f>
        <v>2</v>
      </c>
      <c r="G79" s="11" t="s">
        <v>23</v>
      </c>
      <c r="H79" s="25" t="n">
        <f aca="false">IFERROR(VLOOKUP(G79,Variables!$A$14:$E$18,5,0),"")</f>
        <v>2</v>
      </c>
      <c r="I79" s="11" t="str">
        <f aca="false">IF(B79="Oportunidad de Mejora","OM",IFERROR(CONCATENATE(F79,":",H79),""))</f>
        <v>OM</v>
      </c>
      <c r="J79" s="11" t="str">
        <f aca="false">IFERROR(VLOOKUP(I79,Variables!$A$22:$B$47,2,FALSE()),"Por definir")</f>
        <v>OPT. DE MEJORA</v>
      </c>
      <c r="K79" s="23" t="s">
        <v>358</v>
      </c>
      <c r="L79" s="23" t="s">
        <v>359</v>
      </c>
      <c r="M79" s="11" t="str">
        <f aca="false">IF(I79="OM","N/A",IFERROR(F79*H79,""))</f>
        <v>N/A</v>
      </c>
      <c r="N79" s="23" t="s">
        <v>393</v>
      </c>
      <c r="O79" s="23" t="str">
        <f aca="false">IFERROR(VLOOKUP(J79,Variables!$A$51:$B$55,2,FALSE()),"")</f>
        <v>No es hallazgo de incumplimiento. Mejora preventiva o de adecuación normativa prospectiva.</v>
      </c>
    </row>
    <row r="80" customFormat="false" ht="60" hidden="false" customHeight="true" outlineLevel="0" collapsed="false">
      <c r="A80" s="15" t="s">
        <v>394</v>
      </c>
      <c r="B80" s="16" t="s">
        <v>343</v>
      </c>
      <c r="C80" s="17" t="s">
        <v>395</v>
      </c>
      <c r="D80" s="18" t="s">
        <v>396</v>
      </c>
      <c r="E80" s="19" t="s">
        <v>10</v>
      </c>
      <c r="F80" s="20" t="n">
        <f aca="false">IFERROR(VLOOKUP(E80,Variables!$A$6:$E$10,5,0),"")</f>
        <v>3</v>
      </c>
      <c r="G80" s="19" t="s">
        <v>21</v>
      </c>
      <c r="H80" s="20" t="n">
        <f aca="false">IFERROR(VLOOKUP(G80,Variables!$A$14:$E$18,5,0),"")</f>
        <v>3</v>
      </c>
      <c r="I80" s="19" t="str">
        <f aca="false">IF(B80="Oportunidad de Mejora","OM",IFERROR(CONCATENATE(F80,":",H80),""))</f>
        <v>OM</v>
      </c>
      <c r="J80" s="19" t="str">
        <f aca="false">IFERROR(VLOOKUP(I80,Variables!$A$22:$B$47,2,FALSE()),"Por definir")</f>
        <v>OPT. DE MEJORA</v>
      </c>
      <c r="K80" s="17" t="s">
        <v>358</v>
      </c>
      <c r="L80" s="17" t="s">
        <v>359</v>
      </c>
      <c r="M80" s="19" t="str">
        <f aca="false">IF(I80="OM","N/A",IFERROR(F80*H80,""))</f>
        <v>N/A</v>
      </c>
      <c r="N80" s="17" t="s">
        <v>360</v>
      </c>
      <c r="O80" s="17" t="str">
        <f aca="false">IFERROR(VLOOKUP(J80,Variables!$A$51:$B$55,2,FALSE()),"")</f>
        <v>No es hallazgo de incumplimiento. Mejora preventiva o de adecuación normativa prospectiva.</v>
      </c>
    </row>
    <row r="81" customFormat="false" ht="60" hidden="false" customHeight="true" outlineLevel="0" collapsed="false">
      <c r="A81" s="21" t="s">
        <v>397</v>
      </c>
      <c r="B81" s="22" t="s">
        <v>343</v>
      </c>
      <c r="C81" s="23" t="s">
        <v>398</v>
      </c>
      <c r="D81" s="24" t="s">
        <v>399</v>
      </c>
      <c r="E81" s="11" t="s">
        <v>10</v>
      </c>
      <c r="F81" s="25" t="n">
        <f aca="false">IFERROR(VLOOKUP(E81,Variables!$A$6:$E$10,5,0),"")</f>
        <v>3</v>
      </c>
      <c r="G81" s="11" t="s">
        <v>21</v>
      </c>
      <c r="H81" s="25" t="n">
        <f aca="false">IFERROR(VLOOKUP(G81,Variables!$A$14:$E$18,5,0),"")</f>
        <v>3</v>
      </c>
      <c r="I81" s="11" t="str">
        <f aca="false">IF(B81="Oportunidad de Mejora","OM",IFERROR(CONCATENATE(F81,":",H81),""))</f>
        <v>OM</v>
      </c>
      <c r="J81" s="11" t="str">
        <f aca="false">IFERROR(VLOOKUP(I81,Variables!$A$22:$B$47,2,FALSE()),"Por definir")</f>
        <v>OPT. DE MEJORA</v>
      </c>
      <c r="K81" s="23" t="s">
        <v>358</v>
      </c>
      <c r="L81" s="23" t="s">
        <v>359</v>
      </c>
      <c r="M81" s="11" t="str">
        <f aca="false">IF(I81="OM","N/A",IFERROR(F81*H81,""))</f>
        <v>N/A</v>
      </c>
      <c r="N81" s="23" t="s">
        <v>360</v>
      </c>
      <c r="O81" s="23" t="str">
        <f aca="false">IFERROR(VLOOKUP(J81,Variables!$A$51:$B$55,2,FALSE()),"")</f>
        <v>No es hallazgo de incumplimiento. Mejora preventiva o de adecuación normativa prospectiva.</v>
      </c>
    </row>
    <row r="82" customFormat="false" ht="60" hidden="false" customHeight="true" outlineLevel="0" collapsed="false">
      <c r="A82" s="15" t="s">
        <v>400</v>
      </c>
      <c r="B82" s="16" t="s">
        <v>343</v>
      </c>
      <c r="C82" s="17" t="s">
        <v>395</v>
      </c>
      <c r="D82" s="18" t="s">
        <v>401</v>
      </c>
      <c r="E82" s="19" t="s">
        <v>12</v>
      </c>
      <c r="F82" s="20" t="n">
        <f aca="false">IFERROR(VLOOKUP(E82,Variables!$A$6:$E$10,5,0),"")</f>
        <v>2</v>
      </c>
      <c r="G82" s="19" t="s">
        <v>21</v>
      </c>
      <c r="H82" s="20" t="n">
        <f aca="false">IFERROR(VLOOKUP(G82,Variables!$A$14:$E$18,5,0),"")</f>
        <v>3</v>
      </c>
      <c r="I82" s="19" t="str">
        <f aca="false">IF(B82="Oportunidad de Mejora","OM",IFERROR(CONCATENATE(F82,":",H82),""))</f>
        <v>OM</v>
      </c>
      <c r="J82" s="19" t="str">
        <f aca="false">IFERROR(VLOOKUP(I82,Variables!$A$22:$B$47,2,FALSE()),"Por definir")</f>
        <v>OPT. DE MEJORA</v>
      </c>
      <c r="K82" s="17" t="s">
        <v>358</v>
      </c>
      <c r="L82" s="17" t="s">
        <v>359</v>
      </c>
      <c r="M82" s="19" t="str">
        <f aca="false">IF(I82="OM","N/A",IFERROR(F82*H82,""))</f>
        <v>N/A</v>
      </c>
      <c r="N82" s="17" t="s">
        <v>369</v>
      </c>
      <c r="O82" s="17" t="str">
        <f aca="false">IFERROR(VLOOKUP(J82,Variables!$A$51:$B$55,2,FALSE()),"")</f>
        <v>No es hallazgo de incumplimiento. Mejora preventiva o de adecuación normativa prospectiva.</v>
      </c>
    </row>
    <row r="83" customFormat="false" ht="60" hidden="false" customHeight="true" outlineLevel="0" collapsed="false">
      <c r="A83" s="21" t="s">
        <v>402</v>
      </c>
      <c r="B83" s="22" t="s">
        <v>343</v>
      </c>
      <c r="C83" s="23" t="s">
        <v>362</v>
      </c>
      <c r="D83" s="24" t="s">
        <v>403</v>
      </c>
      <c r="E83" s="11" t="s">
        <v>12</v>
      </c>
      <c r="F83" s="25" t="n">
        <f aca="false">IFERROR(VLOOKUP(E83,Variables!$A$6:$E$10,5,0),"")</f>
        <v>2</v>
      </c>
      <c r="G83" s="11" t="s">
        <v>21</v>
      </c>
      <c r="H83" s="25" t="n">
        <f aca="false">IFERROR(VLOOKUP(G83,Variables!$A$14:$E$18,5,0),"")</f>
        <v>3</v>
      </c>
      <c r="I83" s="11" t="str">
        <f aca="false">IF(B83="Oportunidad de Mejora","OM",IFERROR(CONCATENATE(F83,":",H83),""))</f>
        <v>OM</v>
      </c>
      <c r="J83" s="11" t="str">
        <f aca="false">IFERROR(VLOOKUP(I83,Variables!$A$22:$B$47,2,FALSE()),"Por definir")</f>
        <v>OPT. DE MEJORA</v>
      </c>
      <c r="K83" s="23" t="s">
        <v>358</v>
      </c>
      <c r="L83" s="23" t="s">
        <v>359</v>
      </c>
      <c r="M83" s="11" t="str">
        <f aca="false">IF(I83="OM","N/A",IFERROR(F83*H83,""))</f>
        <v>N/A</v>
      </c>
      <c r="N83" s="23" t="s">
        <v>369</v>
      </c>
      <c r="O83" s="23" t="str">
        <f aca="false">IFERROR(VLOOKUP(J83,Variables!$A$51:$B$55,2,FALSE()),"")</f>
        <v>No es hallazgo de incumplimiento. Mejora preventiva o de adecuación normativa prospectiva.</v>
      </c>
    </row>
    <row r="84" customFormat="false" ht="60" hidden="false" customHeight="true" outlineLevel="0" collapsed="false">
      <c r="A84" s="15" t="s">
        <v>404</v>
      </c>
      <c r="B84" s="16" t="s">
        <v>343</v>
      </c>
      <c r="C84" s="17" t="s">
        <v>405</v>
      </c>
      <c r="D84" s="18" t="s">
        <v>406</v>
      </c>
      <c r="E84" s="19" t="s">
        <v>12</v>
      </c>
      <c r="F84" s="20" t="n">
        <f aca="false">IFERROR(VLOOKUP(E84,Variables!$A$6:$E$10,5,0),"")</f>
        <v>2</v>
      </c>
      <c r="G84" s="19" t="s">
        <v>21</v>
      </c>
      <c r="H84" s="20" t="n">
        <f aca="false">IFERROR(VLOOKUP(G84,Variables!$A$14:$E$18,5,0),"")</f>
        <v>3</v>
      </c>
      <c r="I84" s="19" t="str">
        <f aca="false">IF(B84="Oportunidad de Mejora","OM",IFERROR(CONCATENATE(F84,":",H84),""))</f>
        <v>OM</v>
      </c>
      <c r="J84" s="19" t="str">
        <f aca="false">IFERROR(VLOOKUP(I84,Variables!$A$22:$B$47,2,FALSE()),"Por definir")</f>
        <v>OPT. DE MEJORA</v>
      </c>
      <c r="K84" s="17" t="s">
        <v>358</v>
      </c>
      <c r="L84" s="17" t="s">
        <v>359</v>
      </c>
      <c r="M84" s="19" t="str">
        <f aca="false">IF(I84="OM","N/A",IFERROR(F84*H84,""))</f>
        <v>N/A</v>
      </c>
      <c r="N84" s="17" t="s">
        <v>369</v>
      </c>
      <c r="O84" s="17" t="str">
        <f aca="false">IFERROR(VLOOKUP(J84,Variables!$A$51:$B$55,2,FALSE()),"")</f>
        <v>No es hallazgo de incumplimiento. Mejora preventiva o de adecuación normativa prospectiva.</v>
      </c>
    </row>
    <row r="85" customFormat="false" ht="60" hidden="false" customHeight="true" outlineLevel="0" collapsed="false">
      <c r="A85" s="21" t="s">
        <v>407</v>
      </c>
      <c r="B85" s="22" t="s">
        <v>343</v>
      </c>
      <c r="C85" s="23" t="s">
        <v>367</v>
      </c>
      <c r="D85" s="24" t="s">
        <v>408</v>
      </c>
      <c r="E85" s="11" t="s">
        <v>12</v>
      </c>
      <c r="F85" s="25" t="n">
        <f aca="false">IFERROR(VLOOKUP(E85,Variables!$A$6:$E$10,5,0),"")</f>
        <v>2</v>
      </c>
      <c r="G85" s="11" t="s">
        <v>21</v>
      </c>
      <c r="H85" s="25" t="n">
        <f aca="false">IFERROR(VLOOKUP(G85,Variables!$A$14:$E$18,5,0),"")</f>
        <v>3</v>
      </c>
      <c r="I85" s="11" t="str">
        <f aca="false">IF(B85="Oportunidad de Mejora","OM",IFERROR(CONCATENATE(F85,":",H85),""))</f>
        <v>OM</v>
      </c>
      <c r="J85" s="11" t="str">
        <f aca="false">IFERROR(VLOOKUP(I85,Variables!$A$22:$B$47,2,FALSE()),"Por definir")</f>
        <v>OPT. DE MEJORA</v>
      </c>
      <c r="K85" s="23" t="s">
        <v>358</v>
      </c>
      <c r="L85" s="23" t="s">
        <v>359</v>
      </c>
      <c r="M85" s="11" t="str">
        <f aca="false">IF(I85="OM","N/A",IFERROR(F85*H85,""))</f>
        <v>N/A</v>
      </c>
      <c r="N85" s="23" t="s">
        <v>369</v>
      </c>
      <c r="O85" s="23" t="str">
        <f aca="false">IFERROR(VLOOKUP(J85,Variables!$A$51:$B$55,2,FALSE()),"")</f>
        <v>No es hallazgo de incumplimiento. Mejora preventiva o de adecuación normativa prospectiva.</v>
      </c>
    </row>
    <row r="86" customFormat="false" ht="60" hidden="false" customHeight="true" outlineLevel="0" collapsed="false">
      <c r="A86" s="15" t="s">
        <v>409</v>
      </c>
      <c r="B86" s="16" t="s">
        <v>343</v>
      </c>
      <c r="C86" s="17" t="s">
        <v>405</v>
      </c>
      <c r="D86" s="18" t="s">
        <v>410</v>
      </c>
      <c r="E86" s="19" t="s">
        <v>12</v>
      </c>
      <c r="F86" s="20" t="n">
        <f aca="false">IFERROR(VLOOKUP(E86,Variables!$A$6:$E$10,5,0),"")</f>
        <v>2</v>
      </c>
      <c r="G86" s="19" t="s">
        <v>23</v>
      </c>
      <c r="H86" s="20" t="n">
        <f aca="false">IFERROR(VLOOKUP(G86,Variables!$A$14:$E$18,5,0),"")</f>
        <v>2</v>
      </c>
      <c r="I86" s="19" t="str">
        <f aca="false">IF(B86="Oportunidad de Mejora","OM",IFERROR(CONCATENATE(F86,":",H86),""))</f>
        <v>OM</v>
      </c>
      <c r="J86" s="19" t="str">
        <f aca="false">IFERROR(VLOOKUP(I86,Variables!$A$22:$B$47,2,FALSE()),"Por definir")</f>
        <v>OPT. DE MEJORA</v>
      </c>
      <c r="K86" s="17" t="s">
        <v>358</v>
      </c>
      <c r="L86" s="17" t="s">
        <v>359</v>
      </c>
      <c r="M86" s="19" t="str">
        <f aca="false">IF(I86="OM","N/A",IFERROR(F86*H86,""))</f>
        <v>N/A</v>
      </c>
      <c r="N86" s="17" t="s">
        <v>393</v>
      </c>
      <c r="O86" s="17" t="str">
        <f aca="false">IFERROR(VLOOKUP(J86,Variables!$A$51:$B$55,2,FALSE()),"")</f>
        <v>No es hallazgo de incumplimiento. Mejora preventiva o de adecuación normativa prospectiva.</v>
      </c>
    </row>
    <row r="87" customFormat="false" ht="60" hidden="false" customHeight="true" outlineLevel="0" collapsed="false">
      <c r="A87" s="21" t="s">
        <v>411</v>
      </c>
      <c r="B87" s="22" t="s">
        <v>343</v>
      </c>
      <c r="C87" s="23" t="s">
        <v>412</v>
      </c>
      <c r="D87" s="24" t="s">
        <v>413</v>
      </c>
      <c r="E87" s="11" t="s">
        <v>12</v>
      </c>
      <c r="F87" s="25" t="n">
        <f aca="false">IFERROR(VLOOKUP(E87,Variables!$A$6:$E$10,5,0),"")</f>
        <v>2</v>
      </c>
      <c r="G87" s="11" t="s">
        <v>23</v>
      </c>
      <c r="H87" s="25" t="n">
        <f aca="false">IFERROR(VLOOKUP(G87,Variables!$A$14:$E$18,5,0),"")</f>
        <v>2</v>
      </c>
      <c r="I87" s="11" t="str">
        <f aca="false">IF(B87="Oportunidad de Mejora","OM",IFERROR(CONCATENATE(F87,":",H87),""))</f>
        <v>OM</v>
      </c>
      <c r="J87" s="11" t="str">
        <f aca="false">IFERROR(VLOOKUP(I87,Variables!$A$22:$B$47,2,FALSE()),"Por definir")</f>
        <v>OPT. DE MEJORA</v>
      </c>
      <c r="K87" s="23" t="s">
        <v>358</v>
      </c>
      <c r="L87" s="23" t="s">
        <v>359</v>
      </c>
      <c r="M87" s="11" t="str">
        <f aca="false">IF(I87="OM","N/A",IFERROR(F87*H87,""))</f>
        <v>N/A</v>
      </c>
      <c r="N87" s="23" t="s">
        <v>393</v>
      </c>
      <c r="O87" s="23" t="str">
        <f aca="false">IFERROR(VLOOKUP(J87,Variables!$A$51:$B$55,2,FALSE()),"")</f>
        <v>No es hallazgo de incumplimiento. Mejora preventiva o de adecuación normativa prospectiva.</v>
      </c>
    </row>
    <row r="88" customFormat="false" ht="60" hidden="false" customHeight="true" outlineLevel="0" collapsed="false">
      <c r="A88" s="15" t="s">
        <v>414</v>
      </c>
      <c r="B88" s="16" t="s">
        <v>343</v>
      </c>
      <c r="C88" s="17" t="s">
        <v>415</v>
      </c>
      <c r="D88" s="18" t="s">
        <v>416</v>
      </c>
      <c r="E88" s="19" t="s">
        <v>12</v>
      </c>
      <c r="F88" s="20" t="n">
        <f aca="false">IFERROR(VLOOKUP(E88,Variables!$A$6:$E$10,5,0),"")</f>
        <v>2</v>
      </c>
      <c r="G88" s="19" t="s">
        <v>23</v>
      </c>
      <c r="H88" s="20" t="n">
        <f aca="false">IFERROR(VLOOKUP(G88,Variables!$A$14:$E$18,5,0),"")</f>
        <v>2</v>
      </c>
      <c r="I88" s="19" t="str">
        <f aca="false">IF(B88="Oportunidad de Mejora","OM",IFERROR(CONCATENATE(F88,":",H88),""))</f>
        <v>OM</v>
      </c>
      <c r="J88" s="19" t="str">
        <f aca="false">IFERROR(VLOOKUP(I88,Variables!$A$22:$B$47,2,FALSE()),"Por definir")</f>
        <v>OPT. DE MEJORA</v>
      </c>
      <c r="K88" s="17" t="s">
        <v>358</v>
      </c>
      <c r="L88" s="17" t="s">
        <v>359</v>
      </c>
      <c r="M88" s="19" t="str">
        <f aca="false">IF(I88="OM","N/A",IFERROR(F88*H88,""))</f>
        <v>N/A</v>
      </c>
      <c r="N88" s="17" t="s">
        <v>393</v>
      </c>
      <c r="O88" s="17" t="str">
        <f aca="false">IFERROR(VLOOKUP(J88,Variables!$A$51:$B$55,2,FALSE()),"")</f>
        <v>No es hallazgo de incumplimiento. Mejora preventiva o de adecuación normativa prospectiva.</v>
      </c>
    </row>
    <row r="89" customFormat="false" ht="60" hidden="false" customHeight="true" outlineLevel="0" collapsed="false">
      <c r="A89" s="21" t="s">
        <v>417</v>
      </c>
      <c r="B89" s="22" t="s">
        <v>343</v>
      </c>
      <c r="C89" s="23" t="s">
        <v>418</v>
      </c>
      <c r="D89" s="24" t="s">
        <v>419</v>
      </c>
      <c r="E89" s="11" t="s">
        <v>12</v>
      </c>
      <c r="F89" s="25" t="n">
        <f aca="false">IFERROR(VLOOKUP(E89,Variables!$A$6:$E$10,5,0),"")</f>
        <v>2</v>
      </c>
      <c r="G89" s="11" t="s">
        <v>21</v>
      </c>
      <c r="H89" s="25" t="n">
        <f aca="false">IFERROR(VLOOKUP(G89,Variables!$A$14:$E$18,5,0),"")</f>
        <v>3</v>
      </c>
      <c r="I89" s="11" t="str">
        <f aca="false">IF(B89="Oportunidad de Mejora","OM",IFERROR(CONCATENATE(F89,":",H89),""))</f>
        <v>OM</v>
      </c>
      <c r="J89" s="11" t="str">
        <f aca="false">IFERROR(VLOOKUP(I89,Variables!$A$22:$B$47,2,FALSE()),"Por definir")</f>
        <v>OPT. DE MEJORA</v>
      </c>
      <c r="K89" s="23" t="s">
        <v>358</v>
      </c>
      <c r="L89" s="23" t="s">
        <v>359</v>
      </c>
      <c r="M89" s="11" t="str">
        <f aca="false">IF(I89="OM","N/A",IFERROR(F89*H89,""))</f>
        <v>N/A</v>
      </c>
      <c r="N89" s="23" t="s">
        <v>369</v>
      </c>
      <c r="O89" s="23" t="str">
        <f aca="false">IFERROR(VLOOKUP(J89,Variables!$A$51:$B$55,2,FALSE()),"")</f>
        <v>No es hallazgo de incumplimiento. Mejora preventiva o de adecuación normativa prospectiva.</v>
      </c>
    </row>
  </sheetData>
  <autoFilter ref="A3:O89"/>
  <mergeCells count="2">
    <mergeCell ref="A1:O1"/>
    <mergeCell ref="A2:O2"/>
  </mergeCells>
  <conditionalFormatting sqref="J4:J120">
    <cfRule type="containsText" priority="2" operator="containsText" aboveAverage="0" equalAverage="0" bottom="0" percent="0" rank="0" text="CRÍTICO" dxfId="14">
      <formula>NOT(ISERROR(SEARCH("CRÍTICO",J4)))</formula>
    </cfRule>
    <cfRule type="containsText" priority="3" operator="containsText" aboveAverage="0" equalAverage="0" bottom="0" percent="0" rank="0" text="MEDIO-ALTO" dxfId="15">
      <formula>NOT(ISERROR(SEARCH("MEDIO-ALTO",J4)))</formula>
    </cfRule>
    <cfRule type="containsText" priority="4" operator="containsText" aboveAverage="0" equalAverage="0" bottom="0" percent="0" rank="0" text="MEDIO" dxfId="16">
      <formula>NOT(ISERROR(SEARCH("MEDIO",J4)))</formula>
    </cfRule>
    <cfRule type="containsText" priority="5" operator="containsText" aboveAverage="0" equalAverage="0" bottom="0" percent="0" rank="0" text="BAJO" dxfId="17">
      <formula>NOT(ISERROR(SEARCH("BAJO",J4)))</formula>
    </cfRule>
    <cfRule type="containsText" priority="6" operator="containsText" aboveAverage="0" equalAverage="0" bottom="0" percent="0" rank="0" text="OPT. DE MEJORA" dxfId="18">
      <formula>NOT(ISERROR(SEARCH("OPT. DE MEJORA",J4)))</formula>
    </cfRule>
  </conditionalFormatting>
  <conditionalFormatting sqref="A4:O120">
    <cfRule type="expression" priority="7" aboveAverage="0" equalAverage="0" bottom="0" percent="0" rank="0" text="" dxfId="19">
      <formula>$J4="CRÍTICO"</formula>
    </cfRule>
    <cfRule type="expression" priority="8" aboveAverage="0" equalAverage="0" bottom="0" percent="0" rank="0" text="" dxfId="20">
      <formula>$J4="MEDIO-ALTO"</formula>
    </cfRule>
    <cfRule type="expression" priority="9" aboveAverage="0" equalAverage="0" bottom="0" percent="0" rank="0" text="" dxfId="21">
      <formula>$J4="MEDIO"</formula>
    </cfRule>
    <cfRule type="expression" priority="10" aboveAverage="0" equalAverage="0" bottom="0" percent="0" rank="0" text="" dxfId="22">
      <formula>$J4="BAJO"</formula>
    </cfRule>
    <cfRule type="expression" priority="11" aboveAverage="0" equalAverage="0" bottom="0" percent="0" rank="0" text="" dxfId="23">
      <formula>$J4="OPT. DE MEJORA"</formula>
    </cfRule>
  </conditionalFormatting>
  <conditionalFormatting sqref="E4:H120">
    <cfRule type="expression" priority="12" aboveAverage="0" equalAverage="0" bottom="0" percent="0" rank="0" text="" dxfId="19">
      <formula>$J4="CRÍTICO"</formula>
    </cfRule>
    <cfRule type="expression" priority="13" aboveAverage="0" equalAverage="0" bottom="0" percent="0" rank="0" text="" dxfId="20">
      <formula>$J4="MEDIO-ALTO"</formula>
    </cfRule>
    <cfRule type="expression" priority="14" aboveAverage="0" equalAverage="0" bottom="0" percent="0" rank="0" text="" dxfId="21">
      <formula>$J4="MEDIO"</formula>
    </cfRule>
    <cfRule type="expression" priority="15" aboveAverage="0" equalAverage="0" bottom="0" percent="0" rank="0" text="" dxfId="22">
      <formula>$J4="BAJO"</formula>
    </cfRule>
    <cfRule type="expression" priority="16" aboveAverage="0" equalAverage="0" bottom="0" percent="0" rank="0" text="" dxfId="23">
      <formula>$J4="OPT. DE MEJORA"</formula>
    </cfRule>
  </conditionalFormatting>
  <dataValidations count="3">
    <dataValidation allowBlank="true" errorStyle="stop" operator="between" showDropDown="false" showErrorMessage="false" showInputMessage="false" sqref="B4:B120" type="list">
      <formula1>"Brecha,Oportunidad de Mejora"</formula1>
      <formula2>0</formula2>
    </dataValidation>
    <dataValidation allowBlank="true" errorStyle="stop" operator="between" showDropDown="false" showErrorMessage="false" showInputMessage="false" sqref="E4:E120" type="list">
      <formula1>Variables!$A$6:$A$10</formula1>
      <formula2>0</formula2>
    </dataValidation>
    <dataValidation allowBlank="true" errorStyle="stop" operator="between" showDropDown="false" showErrorMessage="false" showInputMessage="false" sqref="G4:G120" type="list">
      <formula1>Variables!$A$14:$A$18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true" showOutlineSymbols="true" defaultGridColor="true" view="normal" topLeftCell="A1" colorId="64" zoomScale="95" zoomScaleNormal="95" zoomScalePageLayoutView="100" workbookViewId="0">
      <selection pane="topLeft" activeCell="O6" activeCellId="0" sqref="O6"/>
    </sheetView>
  </sheetViews>
  <sheetFormatPr defaultColWidth="8.66796875" defaultRowHeight="14.2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7" min="3" style="0" width="14"/>
  </cols>
  <sheetData>
    <row r="1" customFormat="false" ht="31.5" hidden="false" customHeight="true" outlineLevel="0" collapsed="false">
      <c r="A1" s="1" t="s">
        <v>420</v>
      </c>
      <c r="B1" s="1"/>
      <c r="C1" s="1"/>
      <c r="D1" s="1"/>
      <c r="E1" s="1"/>
      <c r="F1" s="1"/>
      <c r="G1" s="1"/>
      <c r="H1" s="1"/>
    </row>
    <row r="2" customFormat="false" ht="18" hidden="false" customHeight="true" outlineLevel="0" collapsed="false">
      <c r="A2" s="2" t="s">
        <v>421</v>
      </c>
      <c r="B2" s="2"/>
      <c r="C2" s="2"/>
      <c r="D2" s="2"/>
      <c r="E2" s="2"/>
      <c r="F2" s="2"/>
      <c r="G2" s="2"/>
      <c r="H2" s="2"/>
    </row>
    <row r="3" customFormat="false" ht="39.75" hidden="false" customHeight="true" outlineLevel="0" collapsed="false">
      <c r="A3" s="26" t="s">
        <v>422</v>
      </c>
      <c r="C3" s="4" t="s">
        <v>423</v>
      </c>
      <c r="D3" s="4" t="s">
        <v>424</v>
      </c>
      <c r="E3" s="4" t="s">
        <v>425</v>
      </c>
      <c r="F3" s="4" t="s">
        <v>426</v>
      </c>
      <c r="G3" s="4" t="s">
        <v>427</v>
      </c>
    </row>
    <row r="4" customFormat="false" ht="48" hidden="false" customHeight="true" outlineLevel="0" collapsed="false">
      <c r="A4" s="4" t="s">
        <v>428</v>
      </c>
      <c r="B4" s="14" t="n">
        <v>5</v>
      </c>
      <c r="C4" s="27" t="n">
        <f aca="false">COUNTIF(Riesgos!$I$4:$I$120,"5:1")</f>
        <v>0</v>
      </c>
      <c r="D4" s="28" t="n">
        <f aca="false">COUNTIF(Riesgos!$I$4:$I$120,"5:2")</f>
        <v>0</v>
      </c>
      <c r="E4" s="29" t="n">
        <f aca="false">COUNTIF(Riesgos!$I$4:$I$120,"5:3")</f>
        <v>1</v>
      </c>
      <c r="F4" s="29" t="n">
        <f aca="false">COUNTIF(Riesgos!$I$4:$I$120,"5:4")</f>
        <v>1</v>
      </c>
      <c r="G4" s="29" t="n">
        <f aca="false">COUNTIF(Riesgos!$I$4:$I$120,"5:5")</f>
        <v>0</v>
      </c>
    </row>
    <row r="5" customFormat="false" ht="48" hidden="false" customHeight="true" outlineLevel="0" collapsed="false">
      <c r="A5" s="4" t="s">
        <v>429</v>
      </c>
      <c r="B5" s="14" t="n">
        <v>4</v>
      </c>
      <c r="C5" s="27" t="n">
        <f aca="false">COUNTIF(Riesgos!$I$4:$I$120,"4:1")</f>
        <v>0</v>
      </c>
      <c r="D5" s="28" t="n">
        <f aca="false">COUNTIF(Riesgos!$I$4:$I$120,"4:2")</f>
        <v>0</v>
      </c>
      <c r="E5" s="28" t="n">
        <f aca="false">COUNTIF(Riesgos!$I$4:$I$120,"4:3")</f>
        <v>6</v>
      </c>
      <c r="F5" s="29" t="n">
        <f aca="false">COUNTIF(Riesgos!$I$4:$I$120,"4:4")</f>
        <v>5</v>
      </c>
      <c r="G5" s="29" t="n">
        <f aca="false">COUNTIF(Riesgos!$I$4:$I$120,"4:5")</f>
        <v>0</v>
      </c>
    </row>
    <row r="6" customFormat="false" ht="48" hidden="false" customHeight="true" outlineLevel="0" collapsed="false">
      <c r="A6" s="4" t="s">
        <v>430</v>
      </c>
      <c r="B6" s="14" t="n">
        <v>3</v>
      </c>
      <c r="C6" s="30" t="n">
        <f aca="false">COUNTIF(Riesgos!$I$4:$I$120,"3:1")</f>
        <v>0</v>
      </c>
      <c r="D6" s="27" t="n">
        <f aca="false">COUNTIF(Riesgos!$I$4:$I$120,"3:2")</f>
        <v>11</v>
      </c>
      <c r="E6" s="28" t="n">
        <f aca="false">COUNTIF(Riesgos!$I$4:$I$120,"3:3")</f>
        <v>14</v>
      </c>
      <c r="F6" s="28" t="n">
        <f aca="false">COUNTIF(Riesgos!$I$4:$I$120,"3:4")</f>
        <v>1</v>
      </c>
      <c r="G6" s="29" t="n">
        <f aca="false">COUNTIF(Riesgos!$I$4:$I$120,"3:5")</f>
        <v>1</v>
      </c>
    </row>
    <row r="7" customFormat="false" ht="48" hidden="false" customHeight="true" outlineLevel="0" collapsed="false">
      <c r="A7" s="4" t="s">
        <v>431</v>
      </c>
      <c r="B7" s="14" t="n">
        <v>2</v>
      </c>
      <c r="C7" s="30" t="n">
        <f aca="false">COUNTIF(Riesgos!$I$4:$I$120,"2:1")</f>
        <v>1</v>
      </c>
      <c r="D7" s="27" t="n">
        <f aca="false">COUNTIF(Riesgos!$I$4:$I$120,"2:2")</f>
        <v>7</v>
      </c>
      <c r="E7" s="27" t="n">
        <f aca="false">COUNTIF(Riesgos!$I$4:$I$120,"2:3")</f>
        <v>9</v>
      </c>
      <c r="F7" s="28" t="n">
        <f aca="false">COUNTIF(Riesgos!$I$4:$I$120,"2:4")</f>
        <v>1</v>
      </c>
      <c r="G7" s="28" t="n">
        <f aca="false">COUNTIF(Riesgos!$I$4:$I$120,"2:5")</f>
        <v>0</v>
      </c>
    </row>
    <row r="8" customFormat="false" ht="48" hidden="false" customHeight="true" outlineLevel="0" collapsed="false">
      <c r="A8" s="4" t="s">
        <v>432</v>
      </c>
      <c r="B8" s="14" t="n">
        <v>1</v>
      </c>
      <c r="C8" s="30" t="n">
        <f aca="false">COUNTIF(Riesgos!$I$4:$I$120,"1:1")</f>
        <v>0</v>
      </c>
      <c r="D8" s="30" t="n">
        <f aca="false">COUNTIF(Riesgos!$I$4:$I$120,"1:2")</f>
        <v>1</v>
      </c>
      <c r="E8" s="30" t="n">
        <f aca="false">COUNTIF(Riesgos!$I$4:$I$120,"1:3")</f>
        <v>0</v>
      </c>
      <c r="F8" s="27" t="n">
        <f aca="false">COUNTIF(Riesgos!$I$4:$I$120,"1:4")</f>
        <v>0</v>
      </c>
      <c r="G8" s="27" t="n">
        <f aca="false">COUNTIF(Riesgos!$I$4:$I$120,"1:5")</f>
        <v>0</v>
      </c>
    </row>
    <row r="9" customFormat="false" ht="18" hidden="false" customHeight="true" outlineLevel="0" collapsed="false">
      <c r="A9" s="31"/>
      <c r="B9" s="32" t="s">
        <v>433</v>
      </c>
      <c r="C9" s="26" t="n">
        <v>1</v>
      </c>
      <c r="D9" s="26" t="n">
        <v>2</v>
      </c>
      <c r="E9" s="26" t="n">
        <v>3</v>
      </c>
      <c r="F9" s="26" t="n">
        <v>4</v>
      </c>
      <c r="G9" s="26" t="n">
        <v>5</v>
      </c>
    </row>
    <row r="10" customFormat="false" ht="7.5" hidden="false" customHeight="true" outlineLevel="0" collapsed="false"/>
    <row r="11" customFormat="false" ht="21.75" hidden="false" customHeight="true" outlineLevel="0" collapsed="false">
      <c r="A11" s="33" t="s">
        <v>434</v>
      </c>
      <c r="B11" s="33"/>
      <c r="C11" s="33"/>
      <c r="D11" s="33"/>
      <c r="E11" s="33"/>
      <c r="F11" s="33"/>
      <c r="G11" s="33"/>
      <c r="H11" s="33"/>
    </row>
    <row r="12" customFormat="false" ht="21.75" hidden="false" customHeight="true" outlineLevel="0" collapsed="false">
      <c r="A12" s="5" t="s">
        <v>36</v>
      </c>
      <c r="B12" s="5" t="s">
        <v>435</v>
      </c>
      <c r="C12" s="34" t="s">
        <v>436</v>
      </c>
      <c r="D12" s="34"/>
      <c r="E12" s="34"/>
      <c r="F12" s="34"/>
      <c r="G12" s="34"/>
      <c r="H12" s="34"/>
    </row>
    <row r="13" customFormat="false" ht="21.75" hidden="false" customHeight="true" outlineLevel="0" collapsed="false">
      <c r="A13" s="7" t="s">
        <v>34</v>
      </c>
      <c r="B13" s="7" t="s">
        <v>437</v>
      </c>
      <c r="C13" s="34" t="s">
        <v>438</v>
      </c>
      <c r="D13" s="34"/>
      <c r="E13" s="34"/>
      <c r="F13" s="34"/>
      <c r="G13" s="34"/>
      <c r="H13" s="34"/>
    </row>
    <row r="14" customFormat="false" ht="21.75" hidden="false" customHeight="true" outlineLevel="0" collapsed="false">
      <c r="A14" s="8" t="s">
        <v>32</v>
      </c>
      <c r="B14" s="8" t="s">
        <v>439</v>
      </c>
      <c r="C14" s="34" t="s">
        <v>440</v>
      </c>
      <c r="D14" s="34"/>
      <c r="E14" s="34"/>
      <c r="F14" s="34"/>
      <c r="G14" s="34"/>
      <c r="H14" s="34"/>
    </row>
    <row r="15" customFormat="false" ht="21.75" hidden="false" customHeight="true" outlineLevel="0" collapsed="false">
      <c r="A15" s="9" t="s">
        <v>45</v>
      </c>
      <c r="B15" s="9" t="s">
        <v>441</v>
      </c>
      <c r="C15" s="34" t="s">
        <v>442</v>
      </c>
      <c r="D15" s="34"/>
      <c r="E15" s="34"/>
      <c r="F15" s="34"/>
      <c r="G15" s="34"/>
      <c r="H15" s="34"/>
    </row>
    <row r="16" customFormat="false" ht="21.75" hidden="false" customHeight="true" outlineLevel="0" collapsed="false">
      <c r="A16" s="12" t="s">
        <v>61</v>
      </c>
      <c r="B16" s="12" t="s">
        <v>62</v>
      </c>
      <c r="C16" s="34" t="s">
        <v>443</v>
      </c>
      <c r="D16" s="34"/>
      <c r="E16" s="34"/>
      <c r="F16" s="34"/>
      <c r="G16" s="34"/>
      <c r="H16" s="34"/>
    </row>
    <row r="17" customFormat="false" ht="7.5" hidden="false" customHeight="true" outlineLevel="0" collapsed="false"/>
    <row r="18" customFormat="false" ht="21.75" hidden="false" customHeight="true" outlineLevel="0" collapsed="false">
      <c r="A18" s="33" t="s">
        <v>444</v>
      </c>
      <c r="B18" s="33"/>
      <c r="C18" s="33"/>
      <c r="D18" s="33"/>
      <c r="E18" s="33"/>
      <c r="F18" s="33"/>
      <c r="G18" s="33"/>
      <c r="H18" s="33"/>
    </row>
    <row r="19" customFormat="false" ht="24" hidden="false" customHeight="true" outlineLevel="0" collapsed="false">
      <c r="A19" s="35" t="s">
        <v>445</v>
      </c>
      <c r="B19" s="35"/>
      <c r="C19" s="35"/>
      <c r="D19" s="35"/>
      <c r="E19" s="35"/>
      <c r="F19" s="35"/>
      <c r="G19" s="36" t="n">
        <f aca="false">COUNTIF(Riesgos!$J$4:$J$120,"CRÍTICO")</f>
        <v>8</v>
      </c>
      <c r="H19" s="36"/>
    </row>
    <row r="20" customFormat="false" ht="24" hidden="false" customHeight="true" outlineLevel="0" collapsed="false">
      <c r="A20" s="35" t="s">
        <v>446</v>
      </c>
      <c r="B20" s="35"/>
      <c r="C20" s="35"/>
      <c r="D20" s="35"/>
      <c r="E20" s="35"/>
      <c r="F20" s="35"/>
      <c r="G20" s="37" t="n">
        <f aca="false">COUNTIF(Riesgos!$J$4:$J$120,"MEDIO-ALTO")</f>
        <v>22</v>
      </c>
      <c r="H20" s="37"/>
    </row>
    <row r="21" customFormat="false" ht="24" hidden="false" customHeight="true" outlineLevel="0" collapsed="false">
      <c r="A21" s="35" t="s">
        <v>447</v>
      </c>
      <c r="B21" s="35"/>
      <c r="C21" s="35"/>
      <c r="D21" s="35"/>
      <c r="E21" s="35"/>
      <c r="F21" s="35"/>
      <c r="G21" s="38" t="n">
        <f aca="false">COUNTIF(Riesgos!$J$4:$J$120,"MEDIO")</f>
        <v>27</v>
      </c>
      <c r="H21" s="38"/>
    </row>
    <row r="22" customFormat="false" ht="24" hidden="false" customHeight="true" outlineLevel="0" collapsed="false">
      <c r="A22" s="35" t="s">
        <v>448</v>
      </c>
      <c r="B22" s="35"/>
      <c r="C22" s="35"/>
      <c r="D22" s="35"/>
      <c r="E22" s="35"/>
      <c r="F22" s="35"/>
      <c r="G22" s="39" t="n">
        <f aca="false">COUNTIF(Riesgos!$J$4:$J$120,"BAJO")</f>
        <v>2</v>
      </c>
      <c r="H22" s="39"/>
    </row>
    <row r="23" customFormat="false" ht="24" hidden="false" customHeight="true" outlineLevel="0" collapsed="false">
      <c r="A23" s="35" t="s">
        <v>449</v>
      </c>
      <c r="B23" s="35"/>
      <c r="C23" s="35"/>
      <c r="D23" s="35"/>
      <c r="E23" s="35"/>
      <c r="F23" s="35"/>
      <c r="G23" s="40" t="n">
        <f aca="false">COUNTIF(Riesgos!$J$4:$J$120,"OPT. DE MEJORA")</f>
        <v>27</v>
      </c>
      <c r="H23" s="40"/>
    </row>
    <row r="24" customFormat="false" ht="24" hidden="false" customHeight="true" outlineLevel="0" collapsed="false">
      <c r="A24" s="35" t="s">
        <v>450</v>
      </c>
      <c r="B24" s="35"/>
      <c r="C24" s="35"/>
      <c r="D24" s="35"/>
      <c r="E24" s="35"/>
      <c r="F24" s="35"/>
      <c r="G24" s="41" t="n">
        <f aca="false">COUNTIF(Riesgos!$B$4:$B$120,"Brecha")</f>
        <v>59</v>
      </c>
      <c r="H24" s="41"/>
    </row>
    <row r="25" customFormat="false" ht="24" hidden="false" customHeight="true" outlineLevel="0" collapsed="false">
      <c r="A25" s="35" t="s">
        <v>451</v>
      </c>
      <c r="B25" s="35"/>
      <c r="C25" s="35"/>
      <c r="D25" s="35"/>
      <c r="E25" s="35"/>
      <c r="F25" s="35"/>
      <c r="G25" s="42" t="n">
        <f aca="false">COUNTA(Riesgos!$A$4:$A$120)</f>
        <v>86</v>
      </c>
      <c r="H25" s="42"/>
    </row>
    <row r="27" customFormat="false" ht="14.25" hidden="false" customHeight="true" outlineLevel="0" collapsed="false">
      <c r="A27" s="33" t="s">
        <v>452</v>
      </c>
      <c r="B27" s="33"/>
      <c r="C27" s="33"/>
      <c r="D27" s="33"/>
      <c r="E27" s="33"/>
      <c r="F27" s="33"/>
      <c r="G27" s="33"/>
      <c r="H27" s="33"/>
    </row>
    <row r="28" customFormat="false" ht="14.25" hidden="false" customHeight="true" outlineLevel="0" collapsed="false">
      <c r="A28" s="14" t="s">
        <v>453</v>
      </c>
      <c r="B28" s="14"/>
      <c r="C28" s="14"/>
      <c r="D28" s="5" t="s">
        <v>36</v>
      </c>
      <c r="E28" s="7" t="s">
        <v>34</v>
      </c>
      <c r="F28" s="8" t="s">
        <v>32</v>
      </c>
      <c r="G28" s="43" t="s">
        <v>45</v>
      </c>
      <c r="H28" s="14" t="s">
        <v>454</v>
      </c>
    </row>
    <row r="29" customFormat="false" ht="14.25" hidden="false" customHeight="false" outlineLevel="0" collapsed="false">
      <c r="A29" s="44" t="s">
        <v>96</v>
      </c>
      <c r="B29" s="44"/>
      <c r="C29" s="44"/>
      <c r="D29" s="45" t="n">
        <f aca="false">COUNTIFS(Riesgos!$K$4:$K$120,$A29,Riesgos!$J$4:$J$120,"CRÍTICO")</f>
        <v>1</v>
      </c>
      <c r="E29" s="45" t="n">
        <f aca="false">COUNTIFS(Riesgos!$K$4:$K$120,$A29,Riesgos!$J$4:$J$120,"MEDIO-ALTO")</f>
        <v>5</v>
      </c>
      <c r="F29" s="45" t="n">
        <f aca="false">COUNTIFS(Riesgos!$K$4:$K$120,$A29,Riesgos!$J$4:$J$120,"MEDIO")</f>
        <v>5</v>
      </c>
      <c r="G29" s="45" t="n">
        <f aca="false">COUNTIFS(Riesgos!$K$4:$K$120,$A29,Riesgos!$J$4:$J$120,"BAJO")</f>
        <v>0</v>
      </c>
      <c r="H29" s="46" t="n">
        <f aca="false">SUM(D29:G29)</f>
        <v>11</v>
      </c>
    </row>
    <row r="30" customFormat="false" ht="14.25" hidden="false" customHeight="false" outlineLevel="0" collapsed="false">
      <c r="A30" s="44" t="s">
        <v>150</v>
      </c>
      <c r="B30" s="44"/>
      <c r="C30" s="44"/>
      <c r="D30" s="45" t="n">
        <f aca="false">COUNTIFS(Riesgos!$K$4:$K$120,$A30,Riesgos!$J$4:$J$120,"CRÍTICO")</f>
        <v>0</v>
      </c>
      <c r="E30" s="45" t="n">
        <f aca="false">COUNTIFS(Riesgos!$K$4:$K$120,$A30,Riesgos!$J$4:$J$120,"MEDIO-ALTO")</f>
        <v>2</v>
      </c>
      <c r="F30" s="45" t="n">
        <f aca="false">COUNTIFS(Riesgos!$K$4:$K$120,$A30,Riesgos!$J$4:$J$120,"MEDIO")</f>
        <v>7</v>
      </c>
      <c r="G30" s="45" t="n">
        <f aca="false">COUNTIFS(Riesgos!$K$4:$K$120,$A30,Riesgos!$J$4:$J$120,"BAJO")</f>
        <v>1</v>
      </c>
      <c r="H30" s="46" t="n">
        <f aca="false">SUM(D30:G30)</f>
        <v>10</v>
      </c>
    </row>
    <row r="31" customFormat="false" ht="14.25" hidden="false" customHeight="false" outlineLevel="0" collapsed="false">
      <c r="A31" s="44" t="s">
        <v>190</v>
      </c>
      <c r="B31" s="44"/>
      <c r="C31" s="44"/>
      <c r="D31" s="45" t="n">
        <f aca="false">COUNTIFS(Riesgos!$K$4:$K$120,$A31,Riesgos!$J$4:$J$120,"CRÍTICO")</f>
        <v>0</v>
      </c>
      <c r="E31" s="45" t="n">
        <f aca="false">COUNTIFS(Riesgos!$K$4:$K$120,$A31,Riesgos!$J$4:$J$120,"MEDIO-ALTO")</f>
        <v>2</v>
      </c>
      <c r="F31" s="45" t="n">
        <f aca="false">COUNTIFS(Riesgos!$K$4:$K$120,$A31,Riesgos!$J$4:$J$120,"MEDIO")</f>
        <v>4</v>
      </c>
      <c r="G31" s="45" t="n">
        <f aca="false">COUNTIFS(Riesgos!$K$4:$K$120,$A31,Riesgos!$J$4:$J$120,"BAJO")</f>
        <v>0</v>
      </c>
      <c r="H31" s="46" t="n">
        <f aca="false">SUM(D31:G31)</f>
        <v>6</v>
      </c>
    </row>
    <row r="32" customFormat="false" ht="14.25" hidden="false" customHeight="false" outlineLevel="0" collapsed="false">
      <c r="A32" s="44" t="s">
        <v>217</v>
      </c>
      <c r="B32" s="44"/>
      <c r="C32" s="44"/>
      <c r="D32" s="45" t="n">
        <f aca="false">COUNTIFS(Riesgos!$K$4:$K$120,$A32,Riesgos!$J$4:$J$120,"CRÍTICO")</f>
        <v>1</v>
      </c>
      <c r="E32" s="45" t="n">
        <f aca="false">COUNTIFS(Riesgos!$K$4:$K$120,$A32,Riesgos!$J$4:$J$120,"MEDIO-ALTO")</f>
        <v>5</v>
      </c>
      <c r="F32" s="45" t="n">
        <f aca="false">COUNTIFS(Riesgos!$K$4:$K$120,$A32,Riesgos!$J$4:$J$120,"MEDIO")</f>
        <v>1</v>
      </c>
      <c r="G32" s="45" t="n">
        <f aca="false">COUNTIFS(Riesgos!$K$4:$K$120,$A32,Riesgos!$J$4:$J$120,"BAJO")</f>
        <v>1</v>
      </c>
      <c r="H32" s="46" t="n">
        <f aca="false">SUM(D32:G32)</f>
        <v>8</v>
      </c>
    </row>
    <row r="33" customFormat="false" ht="14.25" hidden="false" customHeight="false" outlineLevel="0" collapsed="false">
      <c r="A33" s="44" t="s">
        <v>248</v>
      </c>
      <c r="B33" s="44"/>
      <c r="C33" s="44"/>
      <c r="D33" s="45" t="n">
        <f aca="false">COUNTIFS(Riesgos!$K$4:$K$120,$A33,Riesgos!$J$4:$J$120,"CRÍTICO")</f>
        <v>3</v>
      </c>
      <c r="E33" s="45" t="n">
        <f aca="false">COUNTIFS(Riesgos!$K$4:$K$120,$A33,Riesgos!$J$4:$J$120,"MEDIO-ALTO")</f>
        <v>4</v>
      </c>
      <c r="F33" s="45" t="n">
        <f aca="false">COUNTIFS(Riesgos!$K$4:$K$120,$A33,Riesgos!$J$4:$J$120,"MEDIO")</f>
        <v>1</v>
      </c>
      <c r="G33" s="45" t="n">
        <f aca="false">COUNTIFS(Riesgos!$K$4:$K$120,$A33,Riesgos!$J$4:$J$120,"BAJO")</f>
        <v>0</v>
      </c>
      <c r="H33" s="46" t="n">
        <f aca="false">SUM(D33:G33)</f>
        <v>8</v>
      </c>
    </row>
    <row r="34" customFormat="false" ht="14.25" hidden="false" customHeight="false" outlineLevel="0" collapsed="false">
      <c r="A34" s="44" t="s">
        <v>280</v>
      </c>
      <c r="B34" s="44"/>
      <c r="C34" s="44"/>
      <c r="D34" s="45" t="n">
        <f aca="false">COUNTIFS(Riesgos!$K$4:$K$120,$A34,Riesgos!$J$4:$J$120,"CRÍTICO")</f>
        <v>1</v>
      </c>
      <c r="E34" s="45" t="n">
        <f aca="false">COUNTIFS(Riesgos!$K$4:$K$120,$A34,Riesgos!$J$4:$J$120,"MEDIO-ALTO")</f>
        <v>1</v>
      </c>
      <c r="F34" s="45" t="n">
        <f aca="false">COUNTIFS(Riesgos!$K$4:$K$120,$A34,Riesgos!$J$4:$J$120,"MEDIO")</f>
        <v>3</v>
      </c>
      <c r="G34" s="45" t="n">
        <f aca="false">COUNTIFS(Riesgos!$K$4:$K$120,$A34,Riesgos!$J$4:$J$120,"BAJO")</f>
        <v>0</v>
      </c>
      <c r="H34" s="46" t="n">
        <f aca="false">SUM(D34:G34)</f>
        <v>5</v>
      </c>
    </row>
    <row r="35" customFormat="false" ht="14.25" hidden="false" customHeight="false" outlineLevel="0" collapsed="false">
      <c r="A35" s="44" t="s">
        <v>300</v>
      </c>
      <c r="B35" s="44"/>
      <c r="C35" s="44"/>
      <c r="D35" s="45" t="n">
        <f aca="false">COUNTIFS(Riesgos!$K$4:$K$120,$A35,Riesgos!$J$4:$J$120,"CRÍTICO")</f>
        <v>2</v>
      </c>
      <c r="E35" s="45" t="n">
        <f aca="false">COUNTIFS(Riesgos!$K$4:$K$120,$A35,Riesgos!$J$4:$J$120,"MEDIO-ALTO")</f>
        <v>2</v>
      </c>
      <c r="F35" s="45" t="n">
        <f aca="false">COUNTIFS(Riesgos!$K$4:$K$120,$A35,Riesgos!$J$4:$J$120,"MEDIO")</f>
        <v>2</v>
      </c>
      <c r="G35" s="45" t="n">
        <f aca="false">COUNTIFS(Riesgos!$K$4:$K$120,$A35,Riesgos!$J$4:$J$120,"BAJO")</f>
        <v>0</v>
      </c>
      <c r="H35" s="46" t="n">
        <f aca="false">SUM(D35:G35)</f>
        <v>6</v>
      </c>
    </row>
    <row r="36" customFormat="false" ht="14.25" hidden="false" customHeight="false" outlineLevel="0" collapsed="false">
      <c r="A36" s="44" t="s">
        <v>325</v>
      </c>
      <c r="B36" s="44"/>
      <c r="C36" s="44"/>
      <c r="D36" s="45" t="n">
        <f aca="false">COUNTIFS(Riesgos!$K$4:$K$120,$A36,Riesgos!$J$4:$J$120,"CRÍTICO")</f>
        <v>0</v>
      </c>
      <c r="E36" s="45" t="n">
        <f aca="false">COUNTIFS(Riesgos!$K$4:$K$120,$A36,Riesgos!$J$4:$J$120,"MEDIO-ALTO")</f>
        <v>1</v>
      </c>
      <c r="F36" s="45" t="n">
        <f aca="false">COUNTIFS(Riesgos!$K$4:$K$120,$A36,Riesgos!$J$4:$J$120,"MEDIO")</f>
        <v>4</v>
      </c>
      <c r="G36" s="45" t="n">
        <f aca="false">COUNTIFS(Riesgos!$K$4:$K$120,$A36,Riesgos!$J$4:$J$120,"BAJO")</f>
        <v>0</v>
      </c>
      <c r="H36" s="46" t="n">
        <f aca="false">SUM(D36:G36)</f>
        <v>5</v>
      </c>
    </row>
    <row r="37" customFormat="false" ht="14.25" hidden="false" customHeight="false" outlineLevel="0" collapsed="false">
      <c r="A37" s="47" t="s">
        <v>454</v>
      </c>
      <c r="B37" s="47"/>
      <c r="C37" s="47"/>
      <c r="D37" s="48" t="n">
        <f aca="false">SUM(D29:D36)</f>
        <v>8</v>
      </c>
      <c r="E37" s="48" t="n">
        <f aca="false">SUM(E29:E36)</f>
        <v>22</v>
      </c>
      <c r="F37" s="48" t="n">
        <f aca="false">SUM(F29:F36)</f>
        <v>27</v>
      </c>
      <c r="G37" s="48" t="n">
        <f aca="false">SUM(G29:G36)</f>
        <v>2</v>
      </c>
      <c r="H37" s="48" t="n">
        <f aca="false">SUM(H29:H36)</f>
        <v>59</v>
      </c>
    </row>
    <row r="39" customFormat="false" ht="30" hidden="false" customHeight="true" outlineLevel="0" collapsed="false">
      <c r="A39" s="49" t="s">
        <v>455</v>
      </c>
      <c r="B39" s="49"/>
      <c r="C39" s="49"/>
      <c r="D39" s="49"/>
      <c r="E39" s="49"/>
      <c r="F39" s="49"/>
      <c r="G39" s="49"/>
      <c r="H39" s="49"/>
    </row>
  </sheetData>
  <mergeCells count="35">
    <mergeCell ref="A1:H1"/>
    <mergeCell ref="A2:H2"/>
    <mergeCell ref="A11:H11"/>
    <mergeCell ref="C12:H12"/>
    <mergeCell ref="C13:H13"/>
    <mergeCell ref="C14:H14"/>
    <mergeCell ref="C15:H15"/>
    <mergeCell ref="C16:H16"/>
    <mergeCell ref="A18:H18"/>
    <mergeCell ref="A19:F19"/>
    <mergeCell ref="G19:H19"/>
    <mergeCell ref="A20:F20"/>
    <mergeCell ref="G20:H20"/>
    <mergeCell ref="A21:F21"/>
    <mergeCell ref="G21:H21"/>
    <mergeCell ref="A22:F22"/>
    <mergeCell ref="G22:H22"/>
    <mergeCell ref="A23:F23"/>
    <mergeCell ref="G23:H23"/>
    <mergeCell ref="A24:F24"/>
    <mergeCell ref="G24:H24"/>
    <mergeCell ref="A25:F25"/>
    <mergeCell ref="G25:H25"/>
    <mergeCell ref="A27:H27"/>
    <mergeCell ref="A28:C28"/>
    <mergeCell ref="A29:C29"/>
    <mergeCell ref="A30:C30"/>
    <mergeCell ref="A31:C31"/>
    <mergeCell ref="A32:C32"/>
    <mergeCell ref="A33:C33"/>
    <mergeCell ref="A34:C34"/>
    <mergeCell ref="A35:C35"/>
    <mergeCell ref="A36:C36"/>
    <mergeCell ref="A37:C37"/>
    <mergeCell ref="A39:H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2026-04-02T21:30:47Z</dcterms:created>
  <dc:creator>openpyxl</dc:creator>
  <dc:description/>
  <dc:language>en-US</dc:language>
  <cp:lastModifiedBy>Jose Antonio Serrano Brands</cp:lastModifiedBy>
  <dcterms:modified xsi:type="dcterms:W3CDTF">2026-10-02T20:21:01Z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